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4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drawings/drawing5.xml" ContentType="application/vnd.openxmlformats-officedocument.drawing+xml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LWang\Desktop\FDOT_Tampa Bridge\Maydell_60%submittal\PalmRiver_HEC-RAS\"/>
    </mc:Choice>
  </mc:AlternateContent>
  <xr:revisionPtr revIDLastSave="0" documentId="10_ncr:100000_{35C3AAFE-CFD6-4DC5-94AE-5C24A8D08D4C}" xr6:coauthVersionLast="31" xr6:coauthVersionMax="31" xr10:uidLastSave="{00000000-0000-0000-0000-000000000000}"/>
  <bookViews>
    <workbookView xWindow="0" yWindow="1785" windowWidth="9630" windowHeight="7335" activeTab="1" xr2:uid="{00000000-000D-0000-FFFF-FFFF00000000}"/>
  </bookViews>
  <sheets>
    <sheet name="DataInput" sheetId="5" r:id="rId1"/>
    <sheet name="Single Pile" sheetId="19" r:id="rId2"/>
    <sheet name="Defaults" sheetId="20" state="hidden" r:id="rId3"/>
    <sheet name="Case1 Calculations" sheetId="16" state="hidden" r:id="rId4"/>
    <sheet name="Copy Page" sheetId="21" r:id="rId5"/>
    <sheet name="Case2 Calculations" sheetId="17" state="hidden" r:id="rId6"/>
    <sheet name="Case3 Calculations" sheetId="8" state="hidden" r:id="rId7"/>
  </sheets>
  <functionGroups builtInGroupCount="19"/>
  <definedNames>
    <definedName name="solver_adj" localSheetId="5" hidden="1">'Case2 Calculations'!#REF!</definedName>
    <definedName name="solver_adj" localSheetId="6" hidden="1">'Case3 Calculations'!#REF!</definedName>
    <definedName name="solver_cvg" localSheetId="5" hidden="1">0.0001</definedName>
    <definedName name="solver_cvg" localSheetId="6" hidden="1">0.0001</definedName>
    <definedName name="solver_drv" localSheetId="5" hidden="1">1</definedName>
    <definedName name="solver_drv" localSheetId="6" hidden="1">1</definedName>
    <definedName name="solver_est" localSheetId="5" hidden="1">1</definedName>
    <definedName name="solver_est" localSheetId="6" hidden="1">1</definedName>
    <definedName name="solver_itr" localSheetId="5" hidden="1">100</definedName>
    <definedName name="solver_itr" localSheetId="6" hidden="1">100</definedName>
    <definedName name="solver_lhs1" localSheetId="5" hidden="1">'Case2 Calculations'!#REF!</definedName>
    <definedName name="solver_lhs1" localSheetId="6" hidden="1">'Case3 Calculations'!#REF!</definedName>
    <definedName name="solver_lin" localSheetId="5" hidden="1">2</definedName>
    <definedName name="solver_lin" localSheetId="6" hidden="1">2</definedName>
    <definedName name="solver_neg" localSheetId="5" hidden="1">2</definedName>
    <definedName name="solver_neg" localSheetId="6" hidden="1">2</definedName>
    <definedName name="solver_num" localSheetId="5" hidden="1">1</definedName>
    <definedName name="solver_num" localSheetId="6" hidden="1">1</definedName>
    <definedName name="solver_nwt" localSheetId="5" hidden="1">1</definedName>
    <definedName name="solver_nwt" localSheetId="6" hidden="1">1</definedName>
    <definedName name="solver_opt" localSheetId="5" hidden="1">'Case2 Calculations'!#REF!</definedName>
    <definedName name="solver_opt" localSheetId="6" hidden="1">'Case3 Calculations'!#REF!</definedName>
    <definedName name="solver_pre" localSheetId="5" hidden="1">0.000001</definedName>
    <definedName name="solver_pre" localSheetId="6" hidden="1">0.000001</definedName>
    <definedName name="solver_rel1" localSheetId="5" hidden="1">3</definedName>
    <definedName name="solver_rel1" localSheetId="6" hidden="1">3</definedName>
    <definedName name="solver_rhs1" localSheetId="5" hidden="1">0.01</definedName>
    <definedName name="solver_rhs1" localSheetId="6" hidden="1">0.01</definedName>
    <definedName name="solver_scl" localSheetId="5" hidden="1">2</definedName>
    <definedName name="solver_scl" localSheetId="6" hidden="1">2</definedName>
    <definedName name="solver_sho" localSheetId="5" hidden="1">2</definedName>
    <definedName name="solver_sho" localSheetId="6" hidden="1">2</definedName>
    <definedName name="solver_tim" localSheetId="5" hidden="1">100</definedName>
    <definedName name="solver_tim" localSheetId="6" hidden="1">100</definedName>
    <definedName name="solver_tol" localSheetId="5" hidden="1">0.05</definedName>
    <definedName name="solver_tol" localSheetId="6" hidden="1">0.05</definedName>
    <definedName name="solver_typ" localSheetId="5" hidden="1">3</definedName>
    <definedName name="solver_typ" localSheetId="6" hidden="1">3</definedName>
    <definedName name="solver_val" localSheetId="5" hidden="1">0</definedName>
    <definedName name="solver_val" localSheetId="6" hidden="1">0</definedName>
  </definedNames>
  <calcPr calcId="179017"/>
</workbook>
</file>

<file path=xl/sharedStrings.xml><?xml version="1.0" encoding="utf-8"?>
<sst xmlns="http://schemas.openxmlformats.org/spreadsheetml/2006/main" count="554" uniqueCount="267">
  <si>
    <t>A</t>
  </si>
  <si>
    <t>B</t>
  </si>
  <si>
    <t>Salinity (ppt)</t>
  </si>
  <si>
    <t>I</t>
  </si>
  <si>
    <t>D</t>
  </si>
  <si>
    <t>E</t>
  </si>
  <si>
    <t>F</t>
  </si>
  <si>
    <t>G</t>
  </si>
  <si>
    <t>H</t>
  </si>
  <si>
    <t>C</t>
  </si>
  <si>
    <t>s/b</t>
  </si>
  <si>
    <t>Pile cap summary</t>
  </si>
  <si>
    <t>Determine if the Pile Group is exposed</t>
  </si>
  <si>
    <t>Critical Velocity and Live Bed Peak Velocity</t>
  </si>
  <si>
    <t>Case 1 Column Calculations</t>
  </si>
  <si>
    <t>J</t>
  </si>
  <si>
    <t>K</t>
  </si>
  <si>
    <t>Flow and Sediment</t>
  </si>
  <si>
    <t>Shape</t>
  </si>
  <si>
    <t>f (ft)</t>
  </si>
  <si>
    <t>Calculate                 (ft)</t>
  </si>
  <si>
    <t>Skew Angle</t>
  </si>
  <si>
    <r>
      <t>V/V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</si>
  <si>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Arial"/>
        <family val="2"/>
      </rPr>
      <t>s</t>
    </r>
  </si>
  <si>
    <r>
      <t>K</t>
    </r>
    <r>
      <rPr>
        <vertAlign val="subscript"/>
        <sz val="10"/>
        <rFont val="Arial"/>
        <family val="2"/>
      </rPr>
      <t>f</t>
    </r>
  </si>
  <si>
    <r>
      <t>Calculate the shape factor for the pile group, K</t>
    </r>
    <r>
      <rPr>
        <vertAlign val="subscript"/>
        <sz val="10"/>
        <rFont val="Arial"/>
        <family val="2"/>
      </rPr>
      <t>s</t>
    </r>
  </si>
  <si>
    <r>
      <t>K</t>
    </r>
    <r>
      <rPr>
        <vertAlign val="subscript"/>
        <sz val="10"/>
        <rFont val="Arial"/>
        <family val="2"/>
      </rPr>
      <t>s(pile)</t>
    </r>
  </si>
  <si>
    <r>
      <t>K</t>
    </r>
    <r>
      <rPr>
        <vertAlign val="subscript"/>
        <sz val="10"/>
        <rFont val="Arial"/>
        <family val="2"/>
      </rPr>
      <t>s(pile group)</t>
    </r>
  </si>
  <si>
    <r>
      <t>K</t>
    </r>
    <r>
      <rPr>
        <vertAlign val="subscript"/>
        <sz val="10"/>
        <rFont val="Arial"/>
        <family val="2"/>
      </rPr>
      <t>s</t>
    </r>
  </si>
  <si>
    <r>
      <t>Calculate the pile spacing coefficient, K</t>
    </r>
    <r>
      <rPr>
        <vertAlign val="subscript"/>
        <sz val="10"/>
        <rFont val="Arial"/>
        <family val="2"/>
      </rPr>
      <t>sp</t>
    </r>
  </si>
  <si>
    <r>
      <t>Calculate K</t>
    </r>
    <r>
      <rPr>
        <vertAlign val="subscript"/>
        <sz val="10"/>
        <rFont val="Arial"/>
        <family val="2"/>
      </rPr>
      <t>m</t>
    </r>
  </si>
  <si>
    <r>
      <t>Calculate K</t>
    </r>
    <r>
      <rPr>
        <vertAlign val="subscript"/>
        <sz val="10"/>
        <rFont val="Arial"/>
        <family val="2"/>
      </rPr>
      <t>h</t>
    </r>
  </si>
  <si>
    <r>
      <t>K</t>
    </r>
    <r>
      <rPr>
        <vertAlign val="subscript"/>
        <sz val="10"/>
        <rFont val="Arial"/>
        <family val="2"/>
      </rPr>
      <t>h</t>
    </r>
  </si>
  <si>
    <r>
      <t>Calculate the overall effective diameter, D</t>
    </r>
    <r>
      <rPr>
        <vertAlign val="superscript"/>
        <sz val="10"/>
        <rFont val="Arial"/>
        <family val="2"/>
      </rPr>
      <t>*</t>
    </r>
  </si>
  <si>
    <r>
      <t>Calculate y</t>
    </r>
    <r>
      <rPr>
        <vertAlign val="subscript"/>
        <sz val="10"/>
        <rFont val="Arial"/>
        <family val="2"/>
      </rPr>
      <t>s(col+pc+pg)</t>
    </r>
  </si>
  <si>
    <t>Iteration 1</t>
  </si>
  <si>
    <t>Case 1 Pile Cap Calculations</t>
  </si>
  <si>
    <t>Case 1 Pile Group Calculations</t>
  </si>
  <si>
    <t>Case 1 Complex Pier Scour</t>
  </si>
  <si>
    <t>Case 1 Complex Pier</t>
  </si>
  <si>
    <r>
      <t>Calculate the pile cap extention coefficient, K</t>
    </r>
    <r>
      <rPr>
        <vertAlign val="subscript"/>
        <sz val="10"/>
        <rFont val="Arial"/>
        <family val="2"/>
      </rPr>
      <t>f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</si>
  <si>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</t>
    </r>
  </si>
  <si>
    <r>
      <t>Calculate y</t>
    </r>
    <r>
      <rPr>
        <vertAlign val="subscript"/>
        <sz val="10"/>
        <rFont val="Arial"/>
        <family val="2"/>
      </rPr>
      <t>s(col+pc)</t>
    </r>
  </si>
  <si>
    <t>Case 2 Pile Cap Calculations</t>
  </si>
  <si>
    <r>
      <t>Calculate y</t>
    </r>
    <r>
      <rPr>
        <vertAlign val="subscript"/>
        <sz val="10"/>
        <rFont val="Arial"/>
        <family val="2"/>
      </rPr>
      <t xml:space="preserve">s(col) </t>
    </r>
  </si>
  <si>
    <t>Single Pile Scour Calculations</t>
  </si>
  <si>
    <r>
      <t>y</t>
    </r>
    <r>
      <rPr>
        <b/>
        <vertAlign val="subscript"/>
        <sz val="10"/>
        <color indexed="10"/>
        <rFont val="Arial"/>
        <family val="2"/>
      </rPr>
      <t>s</t>
    </r>
    <r>
      <rPr>
        <b/>
        <sz val="10"/>
        <color indexed="10"/>
        <rFont val="Arial"/>
        <family val="2"/>
      </rPr>
      <t xml:space="preserve"> 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</si>
  <si>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</si>
  <si>
    <t>Case 3 Column Calculations</t>
  </si>
  <si>
    <t>Case 3 Pile Cap Calculations</t>
  </si>
  <si>
    <r>
      <t>Compute K</t>
    </r>
    <r>
      <rPr>
        <vertAlign val="subscript"/>
        <sz val="10"/>
        <rFont val="Arial"/>
        <family val="2"/>
      </rPr>
      <t>bpc</t>
    </r>
  </si>
  <si>
    <t xml:space="preserve">            (ft)</t>
  </si>
  <si>
    <r>
      <t>Calculate K</t>
    </r>
    <r>
      <rPr>
        <vertAlign val="subscript"/>
        <sz val="10"/>
        <rFont val="Arial"/>
        <family val="2"/>
      </rPr>
      <t>bpg</t>
    </r>
  </si>
  <si>
    <t>Case 3 Pile Group Calculations</t>
  </si>
  <si>
    <t>Calculate        and</t>
  </si>
  <si>
    <t>Case 3 Complex Pier Scour</t>
  </si>
  <si>
    <t>Case 3 Complex Pier</t>
  </si>
  <si>
    <t>i</t>
  </si>
  <si>
    <r>
      <t>Set i, 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>, and Y</t>
    </r>
    <r>
      <rPr>
        <vertAlign val="subscript"/>
        <sz val="10"/>
        <rFont val="Arial"/>
        <family val="2"/>
      </rPr>
      <t>s[col+pc(i)]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</si>
  <si>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</si>
  <si>
    <r>
      <t>Y</t>
    </r>
    <r>
      <rPr>
        <vertAlign val="subscript"/>
        <sz val="10"/>
        <rFont val="Arial"/>
        <family val="2"/>
      </rPr>
      <t>s[col+pc(i)]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</si>
  <si>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pc(i+1)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</si>
  <si>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pc(i+1)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</si>
  <si>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 xml:space="preserve"> = 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>?</t>
    </r>
  </si>
  <si>
    <t>Determine if the pile cap was uncovered initially</t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</si>
  <si>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</si>
  <si>
    <t>Stop, Proceed to Step J</t>
  </si>
  <si>
    <t>Circular</t>
  </si>
  <si>
    <t>No Pile Group is present</t>
  </si>
  <si>
    <t>Is the bottom of the column exposed?</t>
  </si>
  <si>
    <t>Proceed to step E</t>
  </si>
  <si>
    <t>No</t>
  </si>
  <si>
    <r>
      <t>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 xml:space="preserve"> (mm)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</si>
  <si>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(ft)</t>
    </r>
  </si>
  <si>
    <r>
      <t>Water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</si>
  <si>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Kinematic Viscosity (ft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</si>
  <si>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u</t>
    </r>
    <r>
      <rPr>
        <vertAlign val="subscript"/>
        <sz val="10"/>
        <rFont val="Arial"/>
        <family val="2"/>
      </rPr>
      <t>*c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</si>
  <si>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</si>
  <si>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</si>
  <si>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</si>
  <si>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</t>
    </r>
  </si>
  <si>
    <r>
      <t>Calculate y</t>
    </r>
    <r>
      <rPr>
        <vertAlign val="subscript"/>
        <sz val="10"/>
        <rFont val="Arial"/>
        <family val="2"/>
      </rPr>
      <t>s(col)(max)</t>
    </r>
    <r>
      <rPr>
        <sz val="10"/>
        <rFont val="Arial"/>
        <family val="2"/>
      </rPr>
      <t xml:space="preserve"> 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</si>
  <si>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col(max)</t>
    </r>
    <r>
      <rPr>
        <sz val="10"/>
        <rFont val="Arial"/>
        <family val="2"/>
      </rPr>
      <t xml:space="preserve"> 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</si>
  <si>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col(max)</t>
    </r>
  </si>
  <si>
    <r>
      <t>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</si>
  <si>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</si>
  <si>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(V/V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</si>
  <si>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</si>
  <si>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y</t>
    </r>
    <r>
      <rPr>
        <vertAlign val="subscript"/>
        <sz val="10"/>
        <rFont val="Arial"/>
        <family val="2"/>
      </rPr>
      <t>s(col)(max)</t>
    </r>
    <r>
      <rPr>
        <sz val="10"/>
        <rFont val="Arial"/>
        <family val="2"/>
      </rPr>
      <t xml:space="preserve">  (ft)</t>
    </r>
  </si>
  <si>
    <r>
      <t>Compute the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col(min)</t>
    </r>
    <r>
      <rPr>
        <sz val="10"/>
        <rFont val="Arial"/>
        <family val="2"/>
      </rPr>
      <t xml:space="preserve"> (ft)</t>
    </r>
  </si>
  <si>
    <r>
      <t>f/b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</si>
  <si>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col(f)</t>
    </r>
    <r>
      <rPr>
        <sz val="10"/>
        <rFont val="Arial"/>
        <family val="2"/>
      </rPr>
      <t xml:space="preserve"> (ft)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</si>
  <si>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/ys</t>
    </r>
    <r>
      <rPr>
        <vertAlign val="subscript"/>
        <sz val="10"/>
        <rFont val="Arial"/>
        <family val="2"/>
      </rPr>
      <t>(col)(max)</t>
    </r>
    <r>
      <rPr>
        <sz val="10"/>
        <rFont val="Arial"/>
        <family val="2"/>
      </rPr>
      <t xml:space="preserve">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</si>
  <si>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col(f)</t>
    </r>
    <r>
      <rPr>
        <sz val="10"/>
        <rFont val="Arial"/>
        <family val="2"/>
      </rPr>
      <t xml:space="preserve">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</si>
  <si>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</si>
  <si>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</si>
  <si>
    <r>
      <t>y</t>
    </r>
    <r>
      <rPr>
        <vertAlign val="subscript"/>
        <sz val="10"/>
        <rFont val="Arial"/>
        <family val="2"/>
      </rPr>
      <t>s(col)</t>
    </r>
    <r>
      <rPr>
        <sz val="10"/>
        <rFont val="Arial"/>
        <family val="2"/>
      </rPr>
      <t xml:space="preserve">  (ft)</t>
    </r>
  </si>
  <si>
    <r>
      <t>Calculate y</t>
    </r>
    <r>
      <rPr>
        <vertAlign val="subscript"/>
        <sz val="10"/>
        <rFont val="Arial"/>
        <family val="2"/>
      </rPr>
      <t>s(pc)(max)</t>
    </r>
    <r>
      <rPr>
        <sz val="10"/>
        <rFont val="Arial"/>
        <family val="2"/>
      </rPr>
      <t xml:space="preserve"> 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</si>
  <si>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pc(max)</t>
    </r>
    <r>
      <rPr>
        <sz val="10"/>
        <rFont val="Arial"/>
        <family val="2"/>
      </rPr>
      <t xml:space="preserve"> 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</si>
  <si>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pc(max)</t>
    </r>
  </si>
  <si>
    <r>
      <t>y</t>
    </r>
    <r>
      <rPr>
        <vertAlign val="subscript"/>
        <sz val="10"/>
        <rFont val="Arial"/>
        <family val="2"/>
      </rPr>
      <t>s(pc)(max)</t>
    </r>
    <r>
      <rPr>
        <sz val="10"/>
        <rFont val="Arial"/>
        <family val="2"/>
      </rPr>
      <t xml:space="preserve">  (ft)</t>
    </r>
  </si>
  <si>
    <r>
      <t>Set i, 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>, and Y</t>
    </r>
    <r>
      <rPr>
        <vertAlign val="subscript"/>
        <sz val="10"/>
        <rFont val="Arial"/>
        <family val="2"/>
      </rPr>
      <t>s[col+pc(i)]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</si>
  <si>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2(max)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</si>
  <si>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s(pc)(max)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</si>
  <si>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pc(i+1)</t>
    </r>
    <r>
      <rPr>
        <sz val="10"/>
        <rFont val="Arial"/>
        <family val="2"/>
      </rPr>
      <t xml:space="preserve"> (ft)</t>
    </r>
  </si>
  <si>
    <r>
      <t>Compute 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 xml:space="preserve"> and Y</t>
    </r>
    <r>
      <rPr>
        <vertAlign val="subscript"/>
        <sz val="10"/>
        <rFont val="Arial"/>
        <family val="2"/>
      </rPr>
      <t>s[col+pc(i+1)]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</si>
  <si>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</si>
  <si>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</si>
  <si>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</si>
  <si>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</si>
  <si>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Y</t>
    </r>
    <r>
      <rPr>
        <vertAlign val="subscript"/>
        <sz val="10"/>
        <rFont val="Arial"/>
        <family val="2"/>
      </rPr>
      <t>s[col+pc(i+1)]</t>
    </r>
    <r>
      <rPr>
        <sz val="10"/>
        <rFont val="Arial"/>
        <family val="2"/>
      </rPr>
      <t xml:space="preserve"> (ft)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</si>
  <si>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 xml:space="preserve"> = 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>?</t>
    </r>
  </si>
  <si>
    <r>
      <t>Check for convergence 
(Y</t>
    </r>
    <r>
      <rPr>
        <vertAlign val="subscript"/>
        <sz val="10"/>
        <rFont val="Arial"/>
        <family val="2"/>
      </rPr>
      <t>s[col+pc](i+1)</t>
    </r>
    <r>
      <rPr>
        <sz val="10"/>
        <rFont val="Arial"/>
        <family val="2"/>
      </rPr>
      <t>-Y</t>
    </r>
    <r>
      <rPr>
        <vertAlign val="subscript"/>
        <sz val="10"/>
        <rFont val="Arial"/>
        <family val="2"/>
      </rPr>
      <t>s[col+pc](i)</t>
    </r>
    <r>
      <rPr>
        <sz val="10"/>
        <rFont val="Arial"/>
        <family val="2"/>
      </rPr>
      <t>)/Y</t>
    </r>
    <r>
      <rPr>
        <vertAlign val="subscript"/>
        <sz val="10"/>
        <rFont val="Arial"/>
        <family val="2"/>
      </rPr>
      <t>s[col+pc](i)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</si>
  <si>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 xml:space="preserve"> 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</si>
  <si>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 +pc)</t>
    </r>
    <r>
      <rPr>
        <sz val="10"/>
        <rFont val="Arial"/>
        <family val="2"/>
      </rPr>
      <t xml:space="preserve">  (ft)</t>
    </r>
  </si>
  <si>
    <r>
      <t>Calculate y</t>
    </r>
    <r>
      <rPr>
        <vertAlign val="subscript"/>
        <sz val="10"/>
        <rFont val="Arial"/>
        <family val="2"/>
      </rPr>
      <t>s(col+pc)</t>
    </r>
    <r>
      <rPr>
        <sz val="10"/>
        <rFont val="Arial"/>
        <family val="2"/>
      </rPr>
      <t xml:space="preserve">  (ft)</t>
    </r>
  </si>
  <si>
    <t>Not Exposed</t>
  </si>
  <si>
    <r>
      <t>Calculate W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</si>
  <si>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</si>
  <si>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(col+pc+pg)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</si>
  <si>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</si>
  <si>
    <r>
      <t>y</t>
    </r>
    <r>
      <rPr>
        <vertAlign val="subscript"/>
        <sz val="10"/>
        <rFont val="Arial"/>
        <family val="2"/>
      </rPr>
      <t>s(col+pc+pg)</t>
    </r>
    <r>
      <rPr>
        <sz val="10"/>
        <rFont val="Arial"/>
        <family val="2"/>
      </rPr>
      <t xml:space="preserve"> (ft)</t>
    </r>
  </si>
  <si>
    <t>No column is present</t>
  </si>
  <si>
    <t>Case 2 Complex Pier</t>
  </si>
  <si>
    <t>Yes</t>
  </si>
  <si>
    <t>NA</t>
  </si>
  <si>
    <t>Exposed</t>
  </si>
  <si>
    <t>Case 2 Pile Group Calculations</t>
  </si>
  <si>
    <t>Case 2 Complex Pier Scour</t>
  </si>
  <si>
    <t>V (ft/s)</t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</si>
  <si>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</si>
  <si>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s(col+pc)</t>
    </r>
    <r>
      <rPr>
        <sz val="10"/>
        <rFont val="Arial"/>
        <family val="2"/>
      </rPr>
      <t xml:space="preserve"> (ft)</t>
    </r>
  </si>
  <si>
    <t>Calculate        and          (ft)</t>
  </si>
  <si>
    <r>
      <t>y</t>
    </r>
    <r>
      <rPr>
        <b/>
        <vertAlign val="subscript"/>
        <sz val="10"/>
        <rFont val="Arial"/>
        <family val="2"/>
      </rPr>
      <t>s(col+pc+pg)</t>
    </r>
    <r>
      <rPr>
        <b/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</si>
  <si>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(ft)</t>
    </r>
  </si>
  <si>
    <r>
      <t>Water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</si>
  <si>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 xml:space="preserve"> (mm)</t>
    </r>
  </si>
  <si>
    <r>
      <t>u</t>
    </r>
    <r>
      <rPr>
        <vertAlign val="subscript"/>
        <sz val="10"/>
        <rFont val="Arial"/>
        <family val="2"/>
      </rPr>
      <t>*c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</si>
  <si>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</si>
  <si>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</si>
  <si>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</si>
  <si>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</t>
    </r>
  </si>
  <si>
    <r>
      <t>Calculate 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 xml:space="preserve"> (ft)</t>
    </r>
  </si>
  <si>
    <r>
      <t>Is 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&gt; y</t>
    </r>
    <r>
      <rPr>
        <vertAlign val="subscript"/>
        <sz val="10"/>
        <rFont val="Arial"/>
        <family val="2"/>
      </rPr>
      <t>1(max)</t>
    </r>
  </si>
  <si>
    <r>
      <t>f/b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</si>
  <si>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</si>
  <si>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>)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</si>
  <si>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</si>
  <si>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Calculate 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 xml:space="preserve"> (ft)</t>
    </r>
  </si>
  <si>
    <r>
      <t>Is 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 xml:space="preserve"> &gt; y</t>
    </r>
    <r>
      <rPr>
        <vertAlign val="subscript"/>
        <sz val="10"/>
        <rFont val="Arial"/>
        <family val="2"/>
      </rPr>
      <t>2(max)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</si>
  <si>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>)</t>
    </r>
  </si>
  <si>
    <r>
      <t>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>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</si>
  <si>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(col+pc)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</si>
  <si>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col(max)</t>
    </r>
  </si>
  <si>
    <r>
      <t>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</si>
  <si>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</si>
  <si>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(V/V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</si>
  <si>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</si>
  <si>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Calculate W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</si>
  <si>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</si>
  <si>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(col+pc+pg)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</si>
  <si>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</si>
  <si>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</si>
  <si>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Calculate ȳ</t>
    </r>
    <r>
      <rPr>
        <vertAlign val="subscript"/>
        <sz val="10"/>
        <rFont val="Arial"/>
        <family val="2"/>
      </rPr>
      <t>3max</t>
    </r>
    <r>
      <rPr>
        <sz val="10"/>
        <rFont val="Arial"/>
        <family val="2"/>
      </rPr>
      <t xml:space="preserve"> (ft)</t>
    </r>
  </si>
  <si>
    <r>
      <t>Ĥpg /  ȳ</t>
    </r>
    <r>
      <rPr>
        <vertAlign val="subscript"/>
        <sz val="10"/>
        <rFont val="Arial"/>
        <family val="2"/>
      </rPr>
      <t>3max</t>
    </r>
    <r>
      <rPr>
        <sz val="10"/>
        <rFont val="Arial"/>
        <family val="2"/>
      </rPr>
      <t xml:space="preserve"> </t>
    </r>
  </si>
  <si>
    <r>
      <t>ӯ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(ft) </t>
    </r>
  </si>
  <si>
    <r>
      <t>Ĥ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</si>
  <si>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Calculate  ӯ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and Ĥ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</si>
  <si>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Kinematic viscosity (ft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</si>
  <si>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(ft)</t>
    </r>
  </si>
  <si>
    <r>
      <t>Water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</si>
  <si>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 xml:space="preserve"> (mm)</t>
    </r>
  </si>
  <si>
    <r>
      <t>u</t>
    </r>
    <r>
      <rPr>
        <vertAlign val="subscript"/>
        <sz val="10"/>
        <rFont val="Arial"/>
        <family val="2"/>
      </rPr>
      <t>*c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</si>
  <si>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</si>
  <si>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</si>
  <si>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</si>
  <si>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</t>
    </r>
  </si>
  <si>
    <r>
      <t>Calculate 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 xml:space="preserve"> (ft)</t>
    </r>
  </si>
  <si>
    <r>
      <t>Is 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&gt; y</t>
    </r>
    <r>
      <rPr>
        <vertAlign val="subscript"/>
        <sz val="10"/>
        <rFont val="Arial"/>
        <family val="2"/>
      </rPr>
      <t>1(max)</t>
    </r>
  </si>
  <si>
    <r>
      <t>f/b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</si>
  <si>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</si>
  <si>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>)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</si>
  <si>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</si>
  <si>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Calculate 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 xml:space="preserve"> (ft)</t>
    </r>
  </si>
  <si>
    <r>
      <t>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</si>
  <si>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</si>
  <si>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(V/V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</si>
  <si>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</si>
  <si>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</si>
  <si>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</si>
  <si>
    <r>
      <t>Kinematic Viscosity (ft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</si>
  <si>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y</t>
    </r>
    <r>
      <rPr>
        <vertAlign val="subscript"/>
        <sz val="10"/>
        <rFont val="Arial"/>
        <family val="2"/>
      </rPr>
      <t>s(col)</t>
    </r>
    <r>
      <rPr>
        <sz val="10"/>
        <rFont val="Arial"/>
        <family val="2"/>
      </rPr>
      <t xml:space="preserve">  (ft)</t>
    </r>
  </si>
  <si>
    <r>
      <t>Calculate y</t>
    </r>
    <r>
      <rPr>
        <vertAlign val="subscript"/>
        <sz val="10"/>
        <rFont val="Arial"/>
        <family val="2"/>
      </rPr>
      <t>s(pc)(max)</t>
    </r>
    <r>
      <rPr>
        <sz val="10"/>
        <rFont val="Arial"/>
        <family val="2"/>
      </rPr>
      <t xml:space="preserve"> 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</si>
  <si>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pc(max)</t>
    </r>
    <r>
      <rPr>
        <sz val="10"/>
        <rFont val="Arial"/>
        <family val="2"/>
      </rPr>
      <t xml:space="preserve"> 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</si>
  <si>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pc(max)</t>
    </r>
  </si>
  <si>
    <r>
      <t>y</t>
    </r>
    <r>
      <rPr>
        <vertAlign val="subscript"/>
        <sz val="10"/>
        <rFont val="Arial"/>
        <family val="2"/>
      </rPr>
      <t>s(pc)(max)</t>
    </r>
    <r>
      <rPr>
        <sz val="10"/>
        <rFont val="Arial"/>
        <family val="2"/>
      </rPr>
      <t xml:space="preserve">  (ft)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</si>
  <si>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2(max)</t>
    </r>
  </si>
  <si>
    <r>
      <t>H</t>
    </r>
    <r>
      <rPr>
        <vertAlign val="superscript"/>
        <sz val="10"/>
        <rFont val="Arial"/>
        <family val="2"/>
      </rPr>
      <t>'</t>
    </r>
    <r>
      <rPr>
        <vertAlign val="subscript"/>
        <sz val="10"/>
        <rFont val="Arial"/>
        <family val="2"/>
      </rPr>
      <t>pc(i)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s(pc)(max)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</si>
  <si>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pc(i+1)</t>
    </r>
    <r>
      <rPr>
        <sz val="10"/>
        <rFont val="Arial"/>
        <family val="2"/>
      </rPr>
      <t xml:space="preserve"> (ft)</t>
    </r>
  </si>
  <si>
    <r>
      <t>Compute 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 xml:space="preserve"> and Y</t>
    </r>
    <r>
      <rPr>
        <vertAlign val="subscript"/>
        <sz val="10"/>
        <rFont val="Arial"/>
        <family val="2"/>
      </rPr>
      <t>s[col+pc(i+1)]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</si>
  <si>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</si>
  <si>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</si>
  <si>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</si>
  <si>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[col+pc(i+1)]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</si>
  <si>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Y</t>
    </r>
    <r>
      <rPr>
        <vertAlign val="subscript"/>
        <sz val="10"/>
        <rFont val="Arial"/>
        <family val="2"/>
      </rPr>
      <t>s[col+pc(i+1)]</t>
    </r>
    <r>
      <rPr>
        <sz val="10"/>
        <rFont val="Arial"/>
        <family val="2"/>
      </rPr>
      <t xml:space="preserve"> (ft)</t>
    </r>
  </si>
  <si>
    <r>
      <t>Check for convergence 
(Y</t>
    </r>
    <r>
      <rPr>
        <vertAlign val="subscript"/>
        <sz val="10"/>
        <rFont val="Arial"/>
        <family val="2"/>
      </rPr>
      <t>s[col+pc](i+1)</t>
    </r>
    <r>
      <rPr>
        <sz val="10"/>
        <rFont val="Arial"/>
        <family val="2"/>
      </rPr>
      <t>-Y</t>
    </r>
    <r>
      <rPr>
        <vertAlign val="subscript"/>
        <sz val="10"/>
        <rFont val="Arial"/>
        <family val="2"/>
      </rPr>
      <t>s[col+pc](i)</t>
    </r>
    <r>
      <rPr>
        <sz val="10"/>
        <rFont val="Arial"/>
        <family val="2"/>
      </rPr>
      <t>)/Y</t>
    </r>
    <r>
      <rPr>
        <vertAlign val="subscript"/>
        <sz val="10"/>
        <rFont val="Arial"/>
        <family val="2"/>
      </rPr>
      <t>s[col+pc](i)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</si>
  <si>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 xml:space="preserve"> 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</si>
  <si>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 +pc)</t>
    </r>
    <r>
      <rPr>
        <sz val="10"/>
        <rFont val="Arial"/>
        <family val="2"/>
      </rPr>
      <t xml:space="preserve">  (ft)</t>
    </r>
  </si>
  <si>
    <r>
      <t>Calculate y</t>
    </r>
    <r>
      <rPr>
        <vertAlign val="subscript"/>
        <sz val="10"/>
        <rFont val="Arial"/>
        <family val="2"/>
      </rPr>
      <t>s(col+pc)</t>
    </r>
    <r>
      <rPr>
        <sz val="10"/>
        <rFont val="Arial"/>
        <family val="2"/>
      </rPr>
      <t xml:space="preserve">  (ft)</t>
    </r>
  </si>
  <si>
    <t>No pile cap is present</t>
  </si>
  <si>
    <t>Rectangular</t>
  </si>
  <si>
    <r>
      <t>Calculate the pile cap extension coefficient, K</t>
    </r>
    <r>
      <rPr>
        <vertAlign val="subscript"/>
        <sz val="10"/>
        <rFont val="Arial"/>
        <family val="2"/>
      </rPr>
      <t>f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</si>
  <si>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 xml:space="preserve"> (ft)</t>
    </r>
  </si>
  <si>
    <r>
      <t>Water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</si>
  <si>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 xml:space="preserve"> (mm)</t>
    </r>
  </si>
  <si>
    <r>
      <t>u</t>
    </r>
    <r>
      <rPr>
        <vertAlign val="subscript"/>
        <sz val="10"/>
        <rFont val="Arial"/>
        <family val="2"/>
      </rPr>
      <t>*c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</si>
  <si>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</si>
  <si>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</si>
  <si>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</si>
  <si>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Symbol"/>
        <family val="1"/>
        <charset val="2"/>
      </rPr>
      <t>a</t>
    </r>
    <r>
      <rPr>
        <sz val="10"/>
        <rFont val="Arial"/>
        <family val="2"/>
      </rPr>
      <t xml:space="preserve"> </t>
    </r>
  </si>
  <si>
    <r>
      <t>Calculate 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 xml:space="preserve"> (ft)</t>
    </r>
  </si>
  <si>
    <r>
      <t>Is 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&gt; y</t>
    </r>
    <r>
      <rPr>
        <vertAlign val="subscript"/>
        <sz val="10"/>
        <rFont val="Arial"/>
        <family val="2"/>
      </rPr>
      <t>1(max)</t>
    </r>
  </si>
  <si>
    <r>
      <t>f/b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</si>
  <si>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</si>
  <si>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1(max)</t>
    </r>
    <r>
      <rPr>
        <sz val="10"/>
        <rFont val="Arial"/>
        <family val="2"/>
      </rPr>
      <t>)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</si>
  <si>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 xml:space="preserve"> (ft)</t>
    </r>
  </si>
  <si>
    <r>
      <t>Calculate 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 xml:space="preserve"> (ft)</t>
    </r>
  </si>
  <si>
    <r>
      <t>Is 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 xml:space="preserve"> &gt; y</t>
    </r>
    <r>
      <rPr>
        <vertAlign val="subscript"/>
        <sz val="10"/>
        <rFont val="Arial"/>
        <family val="2"/>
      </rPr>
      <t>2(max)</t>
    </r>
  </si>
  <si>
    <r>
      <t>H</t>
    </r>
    <r>
      <rPr>
        <vertAlign val="subscript"/>
        <sz val="10"/>
        <rFont val="Arial"/>
        <family val="2"/>
      </rPr>
      <t>col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>)</t>
    </r>
  </si>
  <si>
    <r>
      <t>H</t>
    </r>
    <r>
      <rPr>
        <vertAlign val="subscript"/>
        <sz val="10"/>
        <rFont val="Arial"/>
        <family val="2"/>
      </rPr>
      <t>pc</t>
    </r>
    <r>
      <rPr>
        <sz val="10"/>
        <rFont val="Arial"/>
        <family val="2"/>
      </rPr>
      <t>/(y</t>
    </r>
    <r>
      <rPr>
        <vertAlign val="subscript"/>
        <sz val="10"/>
        <rFont val="Arial"/>
        <family val="2"/>
      </rPr>
      <t>2(max)</t>
    </r>
    <r>
      <rPr>
        <sz val="10"/>
        <rFont val="Arial"/>
        <family val="2"/>
      </rPr>
      <t>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</si>
  <si>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(col+pc)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</si>
  <si>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col(max)</t>
    </r>
  </si>
  <si>
    <r>
      <t>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</si>
  <si>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</si>
  <si>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(V/V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</si>
  <si>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</si>
  <si>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r>
      <t>Calculate W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 xml:space="preserve"> (ft)</t>
    </r>
  </si>
  <si>
    <r>
      <t>Calculate 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pg</t>
    </r>
    <r>
      <rPr>
        <sz val="10"/>
        <rFont val="Arial"/>
        <family val="2"/>
      </rPr>
      <t xml:space="preserve"> (ft)</t>
    </r>
  </si>
  <si>
    <r>
      <t>D</t>
    </r>
    <r>
      <rPr>
        <vertAlign val="superscript"/>
        <sz val="10"/>
        <rFont val="Arial"/>
        <family val="2"/>
      </rPr>
      <t>*</t>
    </r>
    <r>
      <rPr>
        <vertAlign val="subscript"/>
        <sz val="10"/>
        <rFont val="Arial"/>
        <family val="2"/>
      </rPr>
      <t>(col+pc+pg)</t>
    </r>
    <r>
      <rPr>
        <sz val="10"/>
        <rFont val="Arial"/>
        <family val="2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</si>
  <si>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  <family val="2"/>
      </rPr>
      <t>/D</t>
    </r>
    <r>
      <rPr>
        <vertAlign val="superscript"/>
        <sz val="10"/>
        <rFont val="Arial"/>
        <family val="2"/>
      </rPr>
      <t>*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</si>
  <si>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  <family val="2"/>
      </rPr>
      <t>)</t>
    </r>
  </si>
  <si>
    <t>Width (ft)</t>
  </si>
  <si>
    <t>Length (ft)</t>
  </si>
  <si>
    <t>Single Pier</t>
  </si>
  <si>
    <t xml:space="preserve">The local scour is </t>
  </si>
  <si>
    <t xml:space="preserve">The structures D* is </t>
  </si>
  <si>
    <t xml:space="preserve"> (ft)</t>
  </si>
  <si>
    <t>Continue on to step E</t>
  </si>
  <si>
    <r>
      <t>D</t>
    </r>
    <r>
      <rPr>
        <vertAlign val="subscript"/>
        <sz val="10"/>
        <rFont val="Arial"/>
        <family val="2"/>
      </rPr>
      <t>50</t>
    </r>
    <r>
      <rPr>
        <sz val="10"/>
        <rFont val="Arial"/>
      </rPr>
      <t xml:space="preserve"> (mm)</t>
    </r>
  </si>
  <si>
    <r>
      <t>Sediment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>)</t>
    </r>
  </si>
  <si>
    <r>
      <t>Water Temp. (F</t>
    </r>
    <r>
      <rPr>
        <vertAlign val="superscript"/>
        <sz val="10"/>
        <rFont val="Arial"/>
        <family val="2"/>
      </rPr>
      <t>o</t>
    </r>
    <r>
      <rPr>
        <sz val="10"/>
        <rFont val="Arial"/>
      </rPr>
      <t>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</si>
  <si>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</rPr>
      <t xml:space="preserve"> (ft)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</si>
  <si>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</rPr>
      <t xml:space="preserve"> (ft)</t>
    </r>
  </si>
  <si>
    <r>
      <t>Water density (lb/ft</t>
    </r>
    <r>
      <rPr>
        <vertAlign val="superscript"/>
        <sz val="10"/>
        <rFont val="Arial"/>
        <family val="2"/>
      </rPr>
      <t>3</t>
    </r>
    <r>
      <rPr>
        <sz val="10"/>
        <rFont val="Arial"/>
      </rPr>
      <t>)</t>
    </r>
  </si>
  <si>
    <r>
      <t>Viscosity (ft/s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</t>
    </r>
  </si>
  <si>
    <r>
      <t>u</t>
    </r>
    <r>
      <rPr>
        <vertAlign val="subscript"/>
        <sz val="10"/>
        <rFont val="Arial"/>
        <family val="2"/>
      </rPr>
      <t>*c</t>
    </r>
    <r>
      <rPr>
        <sz val="10"/>
        <rFont val="Arial"/>
      </rPr>
      <t xml:space="preserve"> (ft/s)</t>
    </r>
  </si>
  <si>
    <r>
      <t>V</t>
    </r>
    <r>
      <rPr>
        <vertAlign val="subscript"/>
        <sz val="10"/>
        <rFont val="Arial"/>
        <family val="2"/>
      </rPr>
      <t>c</t>
    </r>
    <r>
      <rPr>
        <sz val="10"/>
        <rFont val="Arial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</si>
  <si>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</rPr>
      <t xml:space="preserve"> (ft/s)</t>
    </r>
  </si>
  <si>
    <r>
      <t>V</t>
    </r>
    <r>
      <rPr>
        <vertAlign val="subscript"/>
        <sz val="10"/>
        <rFont val="Arial"/>
        <family val="2"/>
      </rPr>
      <t>lp</t>
    </r>
    <r>
      <rPr>
        <sz val="10"/>
        <rFont val="Arial"/>
      </rPr>
      <t>/V</t>
    </r>
    <r>
      <rPr>
        <vertAlign val="subscript"/>
        <sz val="10"/>
        <rFont val="Arial"/>
        <family val="2"/>
      </rPr>
      <t>c</t>
    </r>
  </si>
  <si>
    <r>
      <t>Calculate K</t>
    </r>
    <r>
      <rPr>
        <vertAlign val="subscript"/>
        <sz val="10"/>
        <rFont val="Symbol"/>
        <family val="1"/>
        <charset val="2"/>
      </rPr>
      <t>a</t>
    </r>
    <r>
      <rPr>
        <sz val="10"/>
        <rFont val="Arial"/>
      </rPr>
      <t xml:space="preserve"> </t>
    </r>
  </si>
  <si>
    <r>
      <t>Calculate D</t>
    </r>
    <r>
      <rPr>
        <vertAlign val="superscript"/>
        <sz val="10"/>
        <rFont val="Arial"/>
        <family val="2"/>
      </rPr>
      <t>*</t>
    </r>
    <r>
      <rPr>
        <sz val="10"/>
        <rFont val="Arial"/>
      </rPr>
      <t xml:space="preserve"> (ft)</t>
    </r>
  </si>
  <si>
    <r>
      <t>Calculate the scour, y</t>
    </r>
    <r>
      <rPr>
        <vertAlign val="subscript"/>
        <sz val="10"/>
        <rFont val="Arial"/>
        <family val="2"/>
      </rPr>
      <t>s</t>
    </r>
    <r>
      <rPr>
        <sz val="10"/>
        <rFont val="Arial"/>
      </rPr>
      <t xml:space="preserve"> </t>
    </r>
  </si>
  <si>
    <r>
      <t>y</t>
    </r>
    <r>
      <rPr>
        <vertAlign val="subscript"/>
        <sz val="10"/>
        <rFont val="Arial"/>
        <family val="2"/>
      </rPr>
      <t>o</t>
    </r>
    <r>
      <rPr>
        <sz val="10"/>
        <rFont val="Arial"/>
      </rPr>
      <t>/D</t>
    </r>
    <r>
      <rPr>
        <vertAlign val="superscript"/>
        <sz val="10"/>
        <rFont val="Arial"/>
        <family val="2"/>
      </rPr>
      <t>*</t>
    </r>
  </si>
  <si>
    <r>
      <t>D</t>
    </r>
    <r>
      <rPr>
        <vertAlign val="superscript"/>
        <sz val="10"/>
        <rFont val="Arial"/>
        <family val="2"/>
      </rPr>
      <t>*</t>
    </r>
    <r>
      <rPr>
        <sz val="10"/>
        <rFont val="Arial"/>
      </rPr>
      <t>/D</t>
    </r>
    <r>
      <rPr>
        <vertAlign val="subscript"/>
        <sz val="10"/>
        <rFont val="Arial"/>
        <family val="2"/>
      </rPr>
      <t>50</t>
    </r>
  </si>
  <si>
    <r>
      <t>f</t>
    </r>
    <r>
      <rPr>
        <vertAlign val="subscript"/>
        <sz val="10"/>
        <rFont val="Arial"/>
        <family val="2"/>
      </rPr>
      <t>1</t>
    </r>
    <r>
      <rPr>
        <sz val="10"/>
        <rFont val="Arial"/>
      </rPr>
      <t>(y</t>
    </r>
    <r>
      <rPr>
        <vertAlign val="subscript"/>
        <sz val="10"/>
        <rFont val="Arial"/>
        <family val="2"/>
      </rPr>
      <t>o</t>
    </r>
    <r>
      <rPr>
        <sz val="10"/>
        <rFont val="Arial"/>
      </rPr>
      <t>/D</t>
    </r>
    <r>
      <rPr>
        <vertAlign val="superscript"/>
        <sz val="10"/>
        <rFont val="Arial"/>
        <family val="2"/>
      </rPr>
      <t>*</t>
    </r>
    <r>
      <rPr>
        <sz val="10"/>
        <rFont val="Arial"/>
      </rPr>
      <t>)</t>
    </r>
  </si>
  <si>
    <r>
      <t>f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(V/V</t>
    </r>
    <r>
      <rPr>
        <vertAlign val="subscript"/>
        <sz val="10"/>
        <rFont val="Arial"/>
        <family val="2"/>
      </rPr>
      <t>c</t>
    </r>
    <r>
      <rPr>
        <sz val="10"/>
        <rFont val="Arial"/>
      </rPr>
      <t>)</t>
    </r>
  </si>
  <si>
    <r>
      <t>f</t>
    </r>
    <r>
      <rPr>
        <vertAlign val="subscript"/>
        <sz val="10"/>
        <rFont val="Arial"/>
        <family val="2"/>
      </rPr>
      <t>3</t>
    </r>
    <r>
      <rPr>
        <sz val="10"/>
        <rFont val="Arial"/>
      </rPr>
      <t>(D</t>
    </r>
    <r>
      <rPr>
        <vertAlign val="superscript"/>
        <sz val="10"/>
        <rFont val="Arial"/>
        <family val="2"/>
      </rPr>
      <t>*</t>
    </r>
    <r>
      <rPr>
        <sz val="10"/>
        <rFont val="Arial"/>
      </rPr>
      <t>/D</t>
    </r>
    <r>
      <rPr>
        <vertAlign val="subscript"/>
        <sz val="10"/>
        <rFont val="Arial"/>
        <family val="2"/>
      </rPr>
      <t>50</t>
    </r>
    <r>
      <rPr>
        <sz val="10"/>
        <rFont val="Arial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</si>
</sst>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"/>
  </numFmts>
  <fonts count="28" x14ac:knownFonts="1">
    <font>
      <sz val="10"/>
      <name val="Arial"/>
    </font>
    <font>
      <sz val="8"/>
      <name val="Arial"/>
      <family val="2"/>
    </font>
    <font>
      <vertAlign val="subscript"/>
      <sz val="10"/>
      <name val="Symbol"/>
      <family val="1"/>
      <charset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b/>
      <sz val="19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medium">
        <color indexed="0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0"/>
      </left>
      <right/>
      <top style="medium">
        <color indexed="10"/>
      </top>
      <bottom/>
      <diagonal/>
    </border>
    <border>
      <left/>
      <right/>
      <top style="medium">
        <color indexed="10"/>
      </top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/>
      <right style="medium">
        <color indexed="10"/>
      </right>
      <top style="medium">
        <color indexed="10"/>
      </top>
      <bottom/>
      <diagonal/>
    </border>
    <border>
      <left/>
      <right style="medium">
        <color indexed="10"/>
      </right>
      <top/>
      <bottom style="medium">
        <color indexed="10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12" borderId="0" applyNumberFormat="0" applyBorder="0" applyAlignment="0" applyProtection="0"/>
    <xf numFmtId="0" fontId="9" fillId="6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1" applyNumberFormat="0" applyAlignment="0" applyProtection="0"/>
    <xf numFmtId="0" fontId="12" fillId="8" borderId="2" applyNumberFormat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13" borderId="1" applyNumberFormat="0" applyAlignment="0" applyProtection="0"/>
    <xf numFmtId="0" fontId="19" fillId="0" borderId="6" applyNumberFormat="0" applyFill="0" applyAlignment="0" applyProtection="0"/>
    <xf numFmtId="0" fontId="20" fillId="19" borderId="0" applyNumberFormat="0" applyBorder="0" applyAlignment="0" applyProtection="0"/>
    <xf numFmtId="0" fontId="7" fillId="6" borderId="7" applyNumberFormat="0" applyFont="0" applyAlignment="0" applyProtection="0"/>
    <xf numFmtId="0" fontId="21" fillId="15" borderId="8" applyNumberFormat="0" applyAlignment="0" applyProtection="0"/>
    <xf numFmtId="0" fontId="2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13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0" fontId="0" fillId="0" borderId="0" xfId="0" applyFill="1" applyBorder="1" applyAlignment="1">
      <alignment horizontal="left"/>
    </xf>
    <xf numFmtId="165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20" borderId="0" xfId="0" applyFill="1"/>
    <xf numFmtId="0" fontId="3" fillId="0" borderId="0" xfId="0" applyFont="1" applyBorder="1" applyAlignment="1">
      <alignment horizontal="center" vertical="top"/>
    </xf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Border="1" applyAlignment="1"/>
    <xf numFmtId="0" fontId="3" fillId="0" borderId="0" xfId="0" applyFont="1" applyBorder="1" applyAlignment="1">
      <alignment vertical="top"/>
    </xf>
    <xf numFmtId="0" fontId="7" fillId="0" borderId="0" xfId="0" applyFont="1" applyBorder="1"/>
    <xf numFmtId="0" fontId="3" fillId="0" borderId="0" xfId="0" applyFont="1" applyBorder="1" applyAlignment="1">
      <alignment horizontal="left" indent="1"/>
    </xf>
    <xf numFmtId="0" fontId="0" fillId="0" borderId="0" xfId="0" applyBorder="1" applyAlignment="1">
      <alignment horizontal="left"/>
    </xf>
    <xf numFmtId="0" fontId="3" fillId="0" borderId="0" xfId="0" applyFont="1" applyAlignment="1">
      <alignment vertical="top"/>
    </xf>
    <xf numFmtId="0" fontId="3" fillId="0" borderId="0" xfId="0" applyFont="1" applyBorder="1" applyAlignment="1"/>
    <xf numFmtId="0" fontId="7" fillId="0" borderId="0" xfId="0" applyFont="1" applyBorder="1" applyAlignment="1"/>
    <xf numFmtId="0" fontId="0" fillId="0" borderId="0" xfId="0" applyBorder="1" applyAlignment="1">
      <alignment horizontal="left" wrapText="1" inden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vertical="top"/>
    </xf>
    <xf numFmtId="0" fontId="7" fillId="0" borderId="0" xfId="0" applyFont="1" applyAlignment="1"/>
    <xf numFmtId="0" fontId="0" fillId="0" borderId="0" xfId="0" applyAlignment="1">
      <alignment horizontal="left"/>
    </xf>
    <xf numFmtId="0" fontId="0" fillId="0" borderId="0" xfId="0" applyAlignment="1">
      <alignment horizontal="left" vertical="top" indent="1"/>
    </xf>
    <xf numFmtId="0" fontId="7" fillId="0" borderId="0" xfId="0" applyFont="1" applyBorder="1" applyAlignment="1">
      <alignment vertical="top"/>
    </xf>
    <xf numFmtId="0" fontId="6" fillId="0" borderId="0" xfId="0" applyFont="1" applyBorder="1" applyAlignment="1">
      <alignment vertical="center"/>
    </xf>
    <xf numFmtId="0" fontId="7" fillId="0" borderId="0" xfId="0" applyFont="1" applyBorder="1" applyAlignment="1">
      <alignment horizontal="right" vertical="top"/>
    </xf>
    <xf numFmtId="0" fontId="0" fillId="0" borderId="0" xfId="0" applyAlignment="1">
      <alignment horizontal="right" vertical="top"/>
    </xf>
    <xf numFmtId="0" fontId="7" fillId="0" borderId="0" xfId="0" applyFont="1" applyBorder="1" applyAlignment="1">
      <alignment horizontal="left" indent="1"/>
    </xf>
    <xf numFmtId="0" fontId="0" fillId="20" borderId="0" xfId="0" applyFill="1" applyBorder="1"/>
    <xf numFmtId="0" fontId="0" fillId="20" borderId="11" xfId="0" applyFill="1" applyBorder="1"/>
    <xf numFmtId="0" fontId="3" fillId="20" borderId="12" xfId="0" applyFont="1" applyFill="1" applyBorder="1" applyAlignment="1">
      <alignment horizontal="center"/>
    </xf>
    <xf numFmtId="0" fontId="0" fillId="20" borderId="0" xfId="0" applyFill="1" applyBorder="1" applyAlignment="1">
      <alignment horizontal="left" indent="1"/>
    </xf>
    <xf numFmtId="0" fontId="0" fillId="20" borderId="13" xfId="0" applyFill="1" applyBorder="1"/>
    <xf numFmtId="0" fontId="4" fillId="20" borderId="14" xfId="0" applyFont="1" applyFill="1" applyBorder="1"/>
    <xf numFmtId="0" fontId="0" fillId="20" borderId="15" xfId="0" applyFill="1" applyBorder="1"/>
    <xf numFmtId="2" fontId="0" fillId="0" borderId="0" xfId="0" applyNumberFormat="1"/>
    <xf numFmtId="0" fontId="3" fillId="0" borderId="10" xfId="0" applyFont="1" applyBorder="1" applyAlignment="1">
      <alignment vertical="top"/>
    </xf>
    <xf numFmtId="0" fontId="7" fillId="0" borderId="0" xfId="0" applyFont="1" applyFill="1" applyBorder="1" applyAlignment="1">
      <alignment horizontal="left" indent="1"/>
    </xf>
    <xf numFmtId="0" fontId="0" fillId="0" borderId="0" xfId="0" applyFill="1" applyBorder="1" applyAlignment="1"/>
    <xf numFmtId="0" fontId="7" fillId="0" borderId="0" xfId="0" applyFont="1" applyAlignment="1">
      <alignment horizontal="left" indent="1"/>
    </xf>
    <xf numFmtId="0" fontId="7" fillId="0" borderId="0" xfId="0" applyFont="1" applyBorder="1" applyAlignment="1">
      <alignment horizontal="left"/>
    </xf>
    <xf numFmtId="0" fontId="0" fillId="0" borderId="0" xfId="0" applyBorder="1" applyAlignment="1">
      <alignment horizontal="left" wrapText="1"/>
    </xf>
    <xf numFmtId="0" fontId="7" fillId="0" borderId="0" xfId="0" applyFont="1" applyAlignment="1">
      <alignment vertical="top"/>
    </xf>
    <xf numFmtId="0" fontId="7" fillId="0" borderId="0" xfId="0" applyFont="1" applyAlignment="1">
      <alignment horizontal="left" wrapText="1" indent="1"/>
    </xf>
    <xf numFmtId="0" fontId="0" fillId="0" borderId="0" xfId="0" applyAlignment="1">
      <alignment horizontal="left" vertical="top"/>
    </xf>
    <xf numFmtId="0" fontId="7" fillId="0" borderId="0" xfId="0" applyFont="1"/>
    <xf numFmtId="164" fontId="0" fillId="0" borderId="0" xfId="0" applyNumberFormat="1" applyBorder="1"/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top" wrapText="1" indent="1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top"/>
    </xf>
    <xf numFmtId="0" fontId="6" fillId="0" borderId="0" xfId="0" applyFont="1" applyBorder="1" applyAlignment="1">
      <alignment horizontal="left" vertical="center"/>
    </xf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0" xfId="0" applyFont="1" applyBorder="1"/>
    <xf numFmtId="0" fontId="0" fillId="0" borderId="0" xfId="0" applyAlignment="1">
      <alignment horizontal="left" wrapText="1" indent="1"/>
    </xf>
    <xf numFmtId="0" fontId="7" fillId="0" borderId="0" xfId="0" applyFont="1" applyAlignment="1">
      <alignment horizontal="right"/>
    </xf>
    <xf numFmtId="0" fontId="0" fillId="20" borderId="19" xfId="0" applyFill="1" applyBorder="1"/>
    <xf numFmtId="0" fontId="7" fillId="0" borderId="0" xfId="0" applyFont="1" applyAlignment="1">
      <alignment horizontal="left"/>
    </xf>
    <xf numFmtId="2" fontId="0" fillId="0" borderId="0" xfId="0" applyNumberFormat="1" applyBorder="1"/>
    <xf numFmtId="0" fontId="3" fillId="0" borderId="0" xfId="0" applyFont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Border="1" applyAlignment="1">
      <alignment horizontal="center" vertical="top"/>
    </xf>
    <xf numFmtId="166" fontId="7" fillId="0" borderId="0" xfId="0" applyNumberFormat="1" applyFont="1" applyAlignment="1">
      <alignment vertical="top"/>
    </xf>
    <xf numFmtId="0" fontId="3" fillId="0" borderId="0" xfId="0" applyFont="1" applyBorder="1" applyAlignment="1">
      <alignment vertical="top"/>
    </xf>
    <xf numFmtId="0" fontId="3" fillId="0" borderId="10" xfId="0" applyFont="1" applyBorder="1" applyAlignment="1">
      <alignment vertical="top"/>
    </xf>
    <xf numFmtId="0" fontId="7" fillId="0" borderId="0" xfId="0" applyFont="1" applyFill="1" applyBorder="1" applyAlignment="1">
      <alignment horizontal="left"/>
    </xf>
    <xf numFmtId="0" fontId="3" fillId="0" borderId="0" xfId="0" applyFont="1" applyBorder="1" applyAlignment="1">
      <alignment vertical="top"/>
    </xf>
    <xf numFmtId="0" fontId="3" fillId="0" borderId="0" xfId="0" applyFont="1" applyBorder="1" applyAlignment="1">
      <alignment horizontal="center" vertical="top"/>
    </xf>
    <xf numFmtId="165" fontId="0" fillId="0" borderId="0" xfId="0" applyNumberFormat="1" applyBorder="1"/>
    <xf numFmtId="0" fontId="3" fillId="0" borderId="0" xfId="0" applyFont="1" applyFill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3" fillId="0" borderId="0" xfId="0" applyFont="1" applyBorder="1" applyAlignment="1">
      <alignment vertical="top"/>
    </xf>
    <xf numFmtId="0" fontId="3" fillId="0" borderId="0" xfId="0" applyFont="1" applyAlignment="1">
      <alignment vertical="top"/>
    </xf>
    <xf numFmtId="0" fontId="3" fillId="0" borderId="10" xfId="0" applyFont="1" applyBorder="1" applyAlignment="1">
      <alignment vertical="top"/>
    </xf>
    <xf numFmtId="0" fontId="3" fillId="0" borderId="0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0" fillId="20" borderId="20" xfId="0" applyFill="1" applyBorder="1"/>
    <xf numFmtId="0" fontId="0" fillId="20" borderId="21" xfId="0" applyFill="1" applyBorder="1"/>
    <xf numFmtId="0" fontId="0" fillId="20" borderId="23" xfId="0" applyFill="1" applyBorder="1"/>
    <xf numFmtId="0" fontId="0" fillId="20" borderId="25" xfId="0" applyFill="1" applyBorder="1"/>
    <xf numFmtId="0" fontId="5" fillId="20" borderId="20" xfId="0" applyFont="1" applyFill="1" applyBorder="1"/>
    <xf numFmtId="0" fontId="0" fillId="20" borderId="27" xfId="0" applyFill="1" applyBorder="1"/>
    <xf numFmtId="0" fontId="0" fillId="20" borderId="29" xfId="0" applyFill="1" applyBorder="1"/>
    <xf numFmtId="0" fontId="0" fillId="20" borderId="30" xfId="0" applyFill="1" applyBorder="1"/>
    <xf numFmtId="0" fontId="0" fillId="20" borderId="31" xfId="0" applyFill="1" applyBorder="1"/>
    <xf numFmtId="0" fontId="3" fillId="0" borderId="10" xfId="0" applyFont="1" applyBorder="1" applyAlignment="1">
      <alignment horizontal="center" vertical="top"/>
    </xf>
    <xf numFmtId="0" fontId="3" fillId="0" borderId="10" xfId="0" applyFont="1" applyBorder="1" applyAlignment="1">
      <alignment vertical="top"/>
    </xf>
    <xf numFmtId="0" fontId="3" fillId="0" borderId="10" xfId="0" applyFont="1" applyFill="1" applyBorder="1" applyAlignment="1">
      <alignment horizontal="center" vertical="top"/>
    </xf>
    <xf numFmtId="0" fontId="0" fillId="0" borderId="0" xfId="0" applyBorder="1" applyAlignment="1"/>
    <xf numFmtId="0" fontId="0" fillId="20" borderId="26" xfId="0" applyFill="1" applyBorder="1" applyAlignment="1"/>
    <xf numFmtId="0" fontId="0" fillId="0" borderId="27" xfId="0" applyBorder="1" applyAlignment="1"/>
    <xf numFmtId="0" fontId="0" fillId="20" borderId="28" xfId="0" applyFill="1" applyBorder="1" applyAlignment="1"/>
    <xf numFmtId="0" fontId="0" fillId="0" borderId="29" xfId="0" applyBorder="1" applyAlignment="1"/>
    <xf numFmtId="0" fontId="3" fillId="20" borderId="22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3" fillId="2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20" borderId="12" xfId="0" applyFont="1" applyFill="1" applyBorder="1" applyAlignment="1">
      <alignment horizontal="center" vertical="top"/>
    </xf>
    <xf numFmtId="0" fontId="3" fillId="20" borderId="16" xfId="0" applyFont="1" applyFill="1" applyBorder="1" applyAlignment="1">
      <alignment horizontal="center"/>
    </xf>
    <xf numFmtId="0" fontId="3" fillId="20" borderId="17" xfId="0" applyFont="1" applyFill="1" applyBorder="1" applyAlignment="1">
      <alignment horizontal="center"/>
    </xf>
    <xf numFmtId="0" fontId="3" fillId="20" borderId="18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 applyBorder="1" applyAlignment="1">
      <alignment vertical="top"/>
    </xf>
    <xf numFmtId="0" fontId="3" fillId="0" borderId="0" xfId="0" applyFont="1" applyAlignment="1">
      <alignment vertical="top"/>
    </xf>
    <xf numFmtId="0" fontId="3" fillId="0" borderId="10" xfId="0" applyFont="1" applyBorder="1" applyAlignment="1">
      <alignment horizontal="center" vertical="top"/>
    </xf>
    <xf numFmtId="0" fontId="3" fillId="0" borderId="10" xfId="0" applyFont="1" applyFill="1" applyBorder="1" applyAlignment="1">
      <alignment vertical="top"/>
    </xf>
    <xf numFmtId="0" fontId="3" fillId="0" borderId="10" xfId="0" applyFont="1" applyBorder="1" applyAlignment="1">
      <alignment vertical="top"/>
    </xf>
    <xf numFmtId="0" fontId="7" fillId="0" borderId="0" xfId="0" applyFont="1" applyBorder="1" applyAlignment="1"/>
    <xf numFmtId="0" fontId="0" fillId="0" borderId="0" xfId="0" applyAlignment="1"/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1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Border="1" applyAlignment="1">
      <alignment horizontal="center" vertical="top"/>
    </xf>
    <xf numFmtId="0" fontId="0" fillId="0" borderId="0" xfId="0" applyBorder="1" applyAlignme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vertical="top"/>
    </xf>
  </cellXfs>
  <cellStyles count="44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te" xfId="39" builtinId="10" customBuiltin="1"/>
    <cellStyle name="Output" xfId="40" builtinId="21" customBuiltin="1"/>
    <cellStyle name="Sheet Title" xfId="41" xr:uid="{00000000-0005-0000-0000-000029000000}"/>
    <cellStyle name="Total" xfId="42" builtinId="25" customBuiltin="1"/>
    <cellStyle name="Warning Text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wmf"/><Relationship Id="rId1" Type="http://schemas.openxmlformats.org/officeDocument/2006/relationships/image" Target="../media/image19.w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wmf"/><Relationship Id="rId1" Type="http://schemas.openxmlformats.org/officeDocument/2006/relationships/image" Target="../media/image19.w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wmf"/><Relationship Id="rId2" Type="http://schemas.openxmlformats.org/officeDocument/2006/relationships/image" Target="../media/image19.wmf"/><Relationship Id="rId1" Type="http://schemas.openxmlformats.org/officeDocument/2006/relationships/image" Target="../media/image21.emf"/><Relationship Id="rId4" Type="http://schemas.openxmlformats.org/officeDocument/2006/relationships/image" Target="../media/image22.w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wmf"/><Relationship Id="rId2" Type="http://schemas.openxmlformats.org/officeDocument/2006/relationships/image" Target="../media/image20.wmf"/><Relationship Id="rId1" Type="http://schemas.openxmlformats.org/officeDocument/2006/relationships/image" Target="../media/image19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5</xdr:row>
          <xdr:rowOff>123825</xdr:rowOff>
        </xdr:from>
        <xdr:to>
          <xdr:col>1</xdr:col>
          <xdr:colOff>1447800</xdr:colOff>
          <xdr:row>7</xdr:row>
          <xdr:rowOff>28575</xdr:rowOff>
        </xdr:to>
        <xdr:sp macro="" textlink="">
          <xdr:nvSpPr>
            <xdr:cNvPr id="5131" name="UnitsComboBox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3</xdr:row>
          <xdr:rowOff>0</xdr:rowOff>
        </xdr:from>
        <xdr:to>
          <xdr:col>1</xdr:col>
          <xdr:colOff>1438275</xdr:colOff>
          <xdr:row>4</xdr:row>
          <xdr:rowOff>66675</xdr:rowOff>
        </xdr:to>
        <xdr:sp macro="" textlink="">
          <xdr:nvSpPr>
            <xdr:cNvPr id="5132" name="PierTypeComboBox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21</xdr:row>
          <xdr:rowOff>133350</xdr:rowOff>
        </xdr:from>
        <xdr:to>
          <xdr:col>1</xdr:col>
          <xdr:colOff>952500</xdr:colOff>
          <xdr:row>23</xdr:row>
          <xdr:rowOff>123825</xdr:rowOff>
        </xdr:to>
        <xdr:sp macro="" textlink="">
          <xdr:nvSpPr>
            <xdr:cNvPr id="5180" name="RestButton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25</xdr:row>
          <xdr:rowOff>76200</xdr:rowOff>
        </xdr:from>
        <xdr:to>
          <xdr:col>10</xdr:col>
          <xdr:colOff>504825</xdr:colOff>
          <xdr:row>43</xdr:row>
          <xdr:rowOff>142875</xdr:rowOff>
        </xdr:to>
        <xdr:sp macro="" textlink="">
          <xdr:nvSpPr>
            <xdr:cNvPr id="5182" name="CaseDescriptionImage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4</xdr:row>
          <xdr:rowOff>76200</xdr:rowOff>
        </xdr:from>
        <xdr:to>
          <xdr:col>20</xdr:col>
          <xdr:colOff>571500</xdr:colOff>
          <xdr:row>24</xdr:row>
          <xdr:rowOff>9525</xdr:rowOff>
        </xdr:to>
        <xdr:sp macro="" textlink="">
          <xdr:nvSpPr>
            <xdr:cNvPr id="5183" name="SinglePileImage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38100</xdr:rowOff>
        </xdr:from>
        <xdr:to>
          <xdr:col>5</xdr:col>
          <xdr:colOff>247650</xdr:colOff>
          <xdr:row>20</xdr:row>
          <xdr:rowOff>0</xdr:rowOff>
        </xdr:to>
        <xdr:sp macro="" textlink="">
          <xdr:nvSpPr>
            <xdr:cNvPr id="5190" name="NoColumnCheckBox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0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18</xdr:row>
          <xdr:rowOff>38100</xdr:rowOff>
        </xdr:from>
        <xdr:to>
          <xdr:col>9</xdr:col>
          <xdr:colOff>161925</xdr:colOff>
          <xdr:row>19</xdr:row>
          <xdr:rowOff>152400</xdr:rowOff>
        </xdr:to>
        <xdr:sp macro="" textlink="">
          <xdr:nvSpPr>
            <xdr:cNvPr id="5191" name="NoPileCapCheckBox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0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18</xdr:row>
          <xdr:rowOff>38100</xdr:rowOff>
        </xdr:from>
        <xdr:to>
          <xdr:col>12</xdr:col>
          <xdr:colOff>104775</xdr:colOff>
          <xdr:row>19</xdr:row>
          <xdr:rowOff>152400</xdr:rowOff>
        </xdr:to>
        <xdr:sp macro="" textlink="">
          <xdr:nvSpPr>
            <xdr:cNvPr id="5192" name="NoPileGroupCheckBox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0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552450</xdr:colOff>
          <xdr:row>3</xdr:row>
          <xdr:rowOff>76200</xdr:rowOff>
        </xdr:from>
        <xdr:to>
          <xdr:col>17</xdr:col>
          <xdr:colOff>190500</xdr:colOff>
          <xdr:row>25</xdr:row>
          <xdr:rowOff>152400</xdr:rowOff>
        </xdr:to>
        <xdr:sp macro="" textlink="">
          <xdr:nvSpPr>
            <xdr:cNvPr id="5216" name="DiagramImage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0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22</xdr:row>
          <xdr:rowOff>0</xdr:rowOff>
        </xdr:from>
        <xdr:to>
          <xdr:col>21</xdr:col>
          <xdr:colOff>200025</xdr:colOff>
          <xdr:row>55</xdr:row>
          <xdr:rowOff>95250</xdr:rowOff>
        </xdr:to>
        <xdr:sp macro="" textlink="">
          <xdr:nvSpPr>
            <xdr:cNvPr id="5233" name="ProjectedWdith_img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0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29</xdr:row>
          <xdr:rowOff>28575</xdr:rowOff>
        </xdr:from>
        <xdr:to>
          <xdr:col>2</xdr:col>
          <xdr:colOff>552450</xdr:colOff>
          <xdr:row>34</xdr:row>
          <xdr:rowOff>133350</xdr:rowOff>
        </xdr:to>
        <xdr:sp macro="" textlink="">
          <xdr:nvSpPr>
            <xdr:cNvPr id="5236" name="Label1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0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35</xdr:row>
          <xdr:rowOff>123825</xdr:rowOff>
        </xdr:from>
        <xdr:to>
          <xdr:col>2</xdr:col>
          <xdr:colOff>142875</xdr:colOff>
          <xdr:row>42</xdr:row>
          <xdr:rowOff>38100</xdr:rowOff>
        </xdr:to>
        <xdr:sp macro="" textlink="">
          <xdr:nvSpPr>
            <xdr:cNvPr id="5237" name="Label2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20</xdr:row>
          <xdr:rowOff>142875</xdr:rowOff>
        </xdr:from>
        <xdr:to>
          <xdr:col>9</xdr:col>
          <xdr:colOff>228600</xdr:colOff>
          <xdr:row>22</xdr:row>
          <xdr:rowOff>133350</xdr:rowOff>
        </xdr:to>
        <xdr:sp macro="" textlink="">
          <xdr:nvSpPr>
            <xdr:cNvPr id="5138" name="Calculate_Button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</xdr:row>
          <xdr:rowOff>104775</xdr:rowOff>
        </xdr:from>
        <xdr:to>
          <xdr:col>1</xdr:col>
          <xdr:colOff>819150</xdr:colOff>
          <xdr:row>29</xdr:row>
          <xdr:rowOff>0</xdr:rowOff>
        </xdr:to>
        <xdr:sp macro="" textlink="">
          <xdr:nvSpPr>
            <xdr:cNvPr id="5238" name="Label3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561975</xdr:colOff>
          <xdr:row>2</xdr:row>
          <xdr:rowOff>123825</xdr:rowOff>
        </xdr:from>
        <xdr:to>
          <xdr:col>21</xdr:col>
          <xdr:colOff>180975</xdr:colOff>
          <xdr:row>25</xdr:row>
          <xdr:rowOff>28575</xdr:rowOff>
        </xdr:to>
        <xdr:sp macro="" textlink="">
          <xdr:nvSpPr>
            <xdr:cNvPr id="5322" name="Top_View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</xdr:row>
          <xdr:rowOff>57150</xdr:rowOff>
        </xdr:from>
        <xdr:to>
          <xdr:col>17</xdr:col>
          <xdr:colOff>142875</xdr:colOff>
          <xdr:row>25</xdr:row>
          <xdr:rowOff>152400</xdr:rowOff>
        </xdr:to>
        <xdr:sp macro="" textlink="">
          <xdr:nvSpPr>
            <xdr:cNvPr id="5329" name="Case2Image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</xdr:row>
          <xdr:rowOff>57150</xdr:rowOff>
        </xdr:from>
        <xdr:to>
          <xdr:col>24</xdr:col>
          <xdr:colOff>419100</xdr:colOff>
          <xdr:row>25</xdr:row>
          <xdr:rowOff>152400</xdr:rowOff>
        </xdr:to>
        <xdr:sp macro="" textlink="">
          <xdr:nvSpPr>
            <xdr:cNvPr id="5330" name="Case3Image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1</xdr:row>
          <xdr:rowOff>66675</xdr:rowOff>
        </xdr:from>
        <xdr:to>
          <xdr:col>21</xdr:col>
          <xdr:colOff>400050</xdr:colOff>
          <xdr:row>27</xdr:row>
          <xdr:rowOff>0</xdr:rowOff>
        </xdr:to>
        <xdr:sp macro="" textlink="">
          <xdr:nvSpPr>
            <xdr:cNvPr id="5337" name="Pilegroup_image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180975</xdr:rowOff>
        </xdr:from>
        <xdr:to>
          <xdr:col>3</xdr:col>
          <xdr:colOff>0</xdr:colOff>
          <xdr:row>65</xdr:row>
          <xdr:rowOff>47625</xdr:rowOff>
        </xdr:to>
        <xdr:sp macro="" textlink="">
          <xdr:nvSpPr>
            <xdr:cNvPr id="10250" name="Object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180975</xdr:rowOff>
        </xdr:from>
        <xdr:to>
          <xdr:col>3</xdr:col>
          <xdr:colOff>0</xdr:colOff>
          <xdr:row>65</xdr:row>
          <xdr:rowOff>19050</xdr:rowOff>
        </xdr:to>
        <xdr:sp macro="" textlink="">
          <xdr:nvSpPr>
            <xdr:cNvPr id="10251" name="Object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142875</xdr:rowOff>
        </xdr:from>
        <xdr:to>
          <xdr:col>3</xdr:col>
          <xdr:colOff>0</xdr:colOff>
          <xdr:row>67</xdr:row>
          <xdr:rowOff>38100</xdr:rowOff>
        </xdr:to>
        <xdr:sp macro="" textlink="">
          <xdr:nvSpPr>
            <xdr:cNvPr id="10252" name="Object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3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152400</xdr:rowOff>
        </xdr:from>
        <xdr:to>
          <xdr:col>3</xdr:col>
          <xdr:colOff>0</xdr:colOff>
          <xdr:row>66</xdr:row>
          <xdr:rowOff>19050</xdr:rowOff>
        </xdr:to>
        <xdr:sp macro="" textlink="">
          <xdr:nvSpPr>
            <xdr:cNvPr id="10253" name="Object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3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124239</xdr:colOff>
      <xdr:row>9</xdr:row>
      <xdr:rowOff>41414</xdr:rowOff>
    </xdr:from>
    <xdr:to>
      <xdr:col>11</xdr:col>
      <xdr:colOff>422413</xdr:colOff>
      <xdr:row>17</xdr:row>
      <xdr:rowOff>140805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888935" y="1772479"/>
          <a:ext cx="3975652" cy="16068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sheet is used to paste into word documents and eliminated the pictures that are on the Case 1 Calculations sheet that get moved</a:t>
          </a:r>
          <a:r>
            <a:rPr lang="en-US" sz="1100" baseline="0"/>
            <a:t> around and annoying when pasted into word. To operate, compute the scour then Ctrl + Shift + m and the data is tranfered from the Case 1 Calculations sheet. TLG 4/4/2012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180975</xdr:rowOff>
        </xdr:from>
        <xdr:to>
          <xdr:col>3</xdr:col>
          <xdr:colOff>0</xdr:colOff>
          <xdr:row>65</xdr:row>
          <xdr:rowOff>47625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180975</xdr:rowOff>
        </xdr:from>
        <xdr:to>
          <xdr:col>3</xdr:col>
          <xdr:colOff>0</xdr:colOff>
          <xdr:row>65</xdr:row>
          <xdr:rowOff>19050</xdr:rowOff>
        </xdr:to>
        <xdr:sp macro="" textlink="">
          <xdr:nvSpPr>
            <xdr:cNvPr id="15362" name="Object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142875</xdr:rowOff>
        </xdr:from>
        <xdr:to>
          <xdr:col>3</xdr:col>
          <xdr:colOff>0</xdr:colOff>
          <xdr:row>67</xdr:row>
          <xdr:rowOff>38100</xdr:rowOff>
        </xdr:to>
        <xdr:sp macro="" textlink="">
          <xdr:nvSpPr>
            <xdr:cNvPr id="15363" name="Object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152400</xdr:rowOff>
        </xdr:from>
        <xdr:to>
          <xdr:col>3</xdr:col>
          <xdr:colOff>0</xdr:colOff>
          <xdr:row>66</xdr:row>
          <xdr:rowOff>19050</xdr:rowOff>
        </xdr:to>
        <xdr:sp macro="" textlink="">
          <xdr:nvSpPr>
            <xdr:cNvPr id="15364" name="Object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0</xdr:row>
          <xdr:rowOff>0</xdr:rowOff>
        </xdr:from>
        <xdr:to>
          <xdr:col>2</xdr:col>
          <xdr:colOff>257175</xdr:colOff>
          <xdr:row>0</xdr:row>
          <xdr:rowOff>0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70</xdr:row>
          <xdr:rowOff>142875</xdr:rowOff>
        </xdr:from>
        <xdr:to>
          <xdr:col>1</xdr:col>
          <xdr:colOff>790575</xdr:colOff>
          <xdr:row>72</xdr:row>
          <xdr:rowOff>28575</xdr:rowOff>
        </xdr:to>
        <xdr:sp macro="" textlink="">
          <xdr:nvSpPr>
            <xdr:cNvPr id="11289" name="Object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5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72</xdr:row>
          <xdr:rowOff>142875</xdr:rowOff>
        </xdr:from>
        <xdr:to>
          <xdr:col>1</xdr:col>
          <xdr:colOff>400050</xdr:colOff>
          <xdr:row>73</xdr:row>
          <xdr:rowOff>180975</xdr:rowOff>
        </xdr:to>
        <xdr:sp macro="" textlink="">
          <xdr:nvSpPr>
            <xdr:cNvPr id="11290" name="Object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5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70</xdr:row>
          <xdr:rowOff>152400</xdr:rowOff>
        </xdr:from>
        <xdr:to>
          <xdr:col>1</xdr:col>
          <xdr:colOff>1304925</xdr:colOff>
          <xdr:row>72</xdr:row>
          <xdr:rowOff>38100</xdr:rowOff>
        </xdr:to>
        <xdr:sp macro="" textlink="">
          <xdr:nvSpPr>
            <xdr:cNvPr id="11291" name="Object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5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71</xdr:row>
          <xdr:rowOff>133350</xdr:rowOff>
        </xdr:from>
        <xdr:to>
          <xdr:col>1</xdr:col>
          <xdr:colOff>381000</xdr:colOff>
          <xdr:row>73</xdr:row>
          <xdr:rowOff>9525</xdr:rowOff>
        </xdr:to>
        <xdr:sp macro="" textlink="">
          <xdr:nvSpPr>
            <xdr:cNvPr id="11292" name="Object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5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82</xdr:row>
          <xdr:rowOff>0</xdr:rowOff>
        </xdr:from>
        <xdr:to>
          <xdr:col>1</xdr:col>
          <xdr:colOff>1028700</xdr:colOff>
          <xdr:row>83</xdr:row>
          <xdr:rowOff>9525</xdr:rowOff>
        </xdr:to>
        <xdr:sp macro="" textlink="">
          <xdr:nvSpPr>
            <xdr:cNvPr id="11294" name="Object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5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121</xdr:row>
          <xdr:rowOff>76200</xdr:rowOff>
        </xdr:from>
        <xdr:to>
          <xdr:col>5</xdr:col>
          <xdr:colOff>819150</xdr:colOff>
          <xdr:row>123</xdr:row>
          <xdr:rowOff>9525</xdr:rowOff>
        </xdr:to>
        <xdr:sp macro="" textlink="">
          <xdr:nvSpPr>
            <xdr:cNvPr id="9225" name="Object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6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79</xdr:row>
          <xdr:rowOff>142875</xdr:rowOff>
        </xdr:from>
        <xdr:to>
          <xdr:col>1</xdr:col>
          <xdr:colOff>1304925</xdr:colOff>
          <xdr:row>81</xdr:row>
          <xdr:rowOff>47625</xdr:rowOff>
        </xdr:to>
        <xdr:sp macro="" textlink="">
          <xdr:nvSpPr>
            <xdr:cNvPr id="9227" name="Object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6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79</xdr:row>
          <xdr:rowOff>133350</xdr:rowOff>
        </xdr:from>
        <xdr:to>
          <xdr:col>1</xdr:col>
          <xdr:colOff>781050</xdr:colOff>
          <xdr:row>81</xdr:row>
          <xdr:rowOff>38100</xdr:rowOff>
        </xdr:to>
        <xdr:sp macro="" textlink="">
          <xdr:nvSpPr>
            <xdr:cNvPr id="9228" name="Object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6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80</xdr:row>
          <xdr:rowOff>123825</xdr:rowOff>
        </xdr:from>
        <xdr:to>
          <xdr:col>1</xdr:col>
          <xdr:colOff>333375</xdr:colOff>
          <xdr:row>82</xdr:row>
          <xdr:rowOff>19050</xdr:rowOff>
        </xdr:to>
        <xdr:sp macro="" textlink="">
          <xdr:nvSpPr>
            <xdr:cNvPr id="9237" name="Object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6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81</xdr:row>
          <xdr:rowOff>142875</xdr:rowOff>
        </xdr:from>
        <xdr:to>
          <xdr:col>1</xdr:col>
          <xdr:colOff>361950</xdr:colOff>
          <xdr:row>83</xdr:row>
          <xdr:rowOff>38100</xdr:rowOff>
        </xdr:to>
        <xdr:sp macro="" textlink="">
          <xdr:nvSpPr>
            <xdr:cNvPr id="9238" name="Object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6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90</xdr:row>
          <xdr:rowOff>171450</xdr:rowOff>
        </xdr:from>
        <xdr:to>
          <xdr:col>1</xdr:col>
          <xdr:colOff>904875</xdr:colOff>
          <xdr:row>92</xdr:row>
          <xdr:rowOff>9525</xdr:rowOff>
        </xdr:to>
        <xdr:sp macro="" textlink="">
          <xdr:nvSpPr>
            <xdr:cNvPr id="9240" name="Object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6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0.w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9.wmf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w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19.wmf"/><Relationship Id="rId4" Type="http://schemas.openxmlformats.org/officeDocument/2006/relationships/oleObject" Target="../embeddings/oleObject5.bin"/><Relationship Id="rId9" Type="http://schemas.openxmlformats.org/officeDocument/2006/relationships/oleObject" Target="../embeddings/oleObject8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13" Type="http://schemas.openxmlformats.org/officeDocument/2006/relationships/image" Target="../media/image22.w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wmf"/><Relationship Id="rId12" Type="http://schemas.openxmlformats.org/officeDocument/2006/relationships/oleObject" Target="../embeddings/oleObject14.bin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10.bin"/><Relationship Id="rId11" Type="http://schemas.openxmlformats.org/officeDocument/2006/relationships/oleObject" Target="../embeddings/oleObject13.bin"/><Relationship Id="rId5" Type="http://schemas.openxmlformats.org/officeDocument/2006/relationships/image" Target="../media/image21.emf"/><Relationship Id="rId10" Type="http://schemas.openxmlformats.org/officeDocument/2006/relationships/oleObject" Target="../embeddings/oleObject12.bin"/><Relationship Id="rId4" Type="http://schemas.openxmlformats.org/officeDocument/2006/relationships/oleObject" Target="../embeddings/oleObject9.bin"/><Relationship Id="rId9" Type="http://schemas.openxmlformats.org/officeDocument/2006/relationships/image" Target="../media/image20.w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wmf"/><Relationship Id="rId3" Type="http://schemas.openxmlformats.org/officeDocument/2006/relationships/vmlDrawing" Target="../drawings/vmlDrawing5.vml"/><Relationship Id="rId7" Type="http://schemas.openxmlformats.org/officeDocument/2006/relationships/oleObject" Target="../embeddings/oleObject17.bin"/><Relationship Id="rId12" Type="http://schemas.openxmlformats.org/officeDocument/2006/relationships/image" Target="../media/image22.w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16.bin"/><Relationship Id="rId11" Type="http://schemas.openxmlformats.org/officeDocument/2006/relationships/oleObject" Target="../embeddings/oleObject20.bin"/><Relationship Id="rId5" Type="http://schemas.openxmlformats.org/officeDocument/2006/relationships/image" Target="../media/image19.wmf"/><Relationship Id="rId10" Type="http://schemas.openxmlformats.org/officeDocument/2006/relationships/oleObject" Target="../embeddings/oleObject19.bin"/><Relationship Id="rId4" Type="http://schemas.openxmlformats.org/officeDocument/2006/relationships/oleObject" Target="../embeddings/oleObject15.bin"/><Relationship Id="rId9" Type="http://schemas.openxmlformats.org/officeDocument/2006/relationships/oleObject" Target="../embeddings/oleObject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fitToPage="1"/>
  </sheetPr>
  <dimension ref="B3:K18"/>
  <sheetViews>
    <sheetView zoomScaleNormal="100" workbookViewId="0">
      <selection activeCell="A3" sqref="A3:J25"/>
    </sheetView>
  </sheetViews>
  <sheetFormatPr defaultColWidth="9.140625" defaultRowHeight="12.75" x14ac:dyDescent="0.2"/>
  <cols>
    <col min="1" max="1" width="9.140625" style="10"/>
    <col min="2" max="2" width="23.28515625" style="10" customWidth="1"/>
    <col min="3" max="3" width="9.28515625" style="10" bestFit="1" customWidth="1"/>
    <col min="4" max="4" width="9.140625" style="10"/>
    <col min="5" max="5" width="9.28515625" style="10" bestFit="1" customWidth="1"/>
    <col min="6" max="6" width="10.85546875" style="10" bestFit="1" customWidth="1"/>
    <col min="7" max="7" width="9.140625" style="10"/>
    <col min="8" max="8" width="8.7109375" style="10" customWidth="1"/>
    <col min="9" max="9" width="3.7109375" style="10" bestFit="1" customWidth="1"/>
    <col min="10" max="10" width="9.140625" style="10"/>
    <col min="11" max="11" width="8.7109375" style="10" customWidth="1"/>
    <col min="12" max="12" width="10.7109375" style="10" customWidth="1"/>
    <col min="13" max="16384" width="9.140625" style="10"/>
  </cols>
  <sheetData>
    <row r="3" spans="2:11" ht="13.5" thickBot="1" x14ac:dyDescent="0.25"/>
    <row r="4" spans="2:11" x14ac:dyDescent="0.2">
      <c r="E4" s="101" t="s">
        <v>244</v>
      </c>
      <c r="F4" s="102"/>
      <c r="G4" s="102"/>
      <c r="H4" s="93">
        <v>12.37</v>
      </c>
      <c r="I4" s="95" t="s">
        <v>246</v>
      </c>
    </row>
    <row r="5" spans="2:11" ht="13.5" thickBot="1" x14ac:dyDescent="0.25">
      <c r="E5" s="103" t="s">
        <v>245</v>
      </c>
      <c r="F5" s="104"/>
      <c r="G5" s="104"/>
      <c r="H5" s="94">
        <v>8.77</v>
      </c>
      <c r="I5" s="96" t="s">
        <v>246</v>
      </c>
    </row>
    <row r="8" spans="2:11" x14ac:dyDescent="0.2">
      <c r="E8" s="38"/>
      <c r="F8" s="38"/>
      <c r="G8" s="38"/>
      <c r="H8" s="38"/>
      <c r="I8" s="38"/>
      <c r="J8" s="38"/>
      <c r="K8" s="38"/>
    </row>
    <row r="9" spans="2:11" x14ac:dyDescent="0.2">
      <c r="E9" s="38"/>
      <c r="F9" s="38"/>
      <c r="G9" s="38"/>
      <c r="H9" s="38"/>
      <c r="I9" s="38"/>
      <c r="J9" s="38"/>
      <c r="K9" s="38"/>
    </row>
    <row r="10" spans="2:11" ht="12.75" customHeight="1" x14ac:dyDescent="0.2">
      <c r="B10" s="107" t="s">
        <v>17</v>
      </c>
      <c r="C10" s="108"/>
      <c r="E10" s="38"/>
      <c r="F10" s="38"/>
      <c r="G10" s="38"/>
      <c r="H10" s="38"/>
      <c r="I10" s="38"/>
      <c r="J10" s="38"/>
      <c r="K10" s="38"/>
    </row>
    <row r="11" spans="2:11" ht="15.75" x14ac:dyDescent="0.3">
      <c r="B11" s="88" t="s">
        <v>248</v>
      </c>
      <c r="C11" s="92">
        <v>0.1</v>
      </c>
      <c r="E11" s="38"/>
      <c r="F11" s="38"/>
      <c r="G11" s="38"/>
      <c r="H11" s="38"/>
      <c r="I11" s="38"/>
      <c r="J11" s="38"/>
      <c r="K11" s="38"/>
    </row>
    <row r="12" spans="2:11" ht="15" thickBot="1" x14ac:dyDescent="0.25">
      <c r="B12" s="88" t="s">
        <v>249</v>
      </c>
      <c r="C12" s="92">
        <v>165</v>
      </c>
      <c r="E12" s="38"/>
      <c r="F12" s="38"/>
      <c r="G12" s="38"/>
      <c r="H12" s="38"/>
      <c r="I12" s="38"/>
      <c r="J12" s="38"/>
      <c r="K12" s="38"/>
    </row>
    <row r="13" spans="2:11" ht="14.25" x14ac:dyDescent="0.2">
      <c r="B13" s="88" t="s">
        <v>250</v>
      </c>
      <c r="C13" s="92">
        <v>68</v>
      </c>
      <c r="E13" s="105" t="s">
        <v>243</v>
      </c>
      <c r="F13" s="106"/>
      <c r="G13" s="38"/>
      <c r="H13" s="38"/>
      <c r="I13" s="38"/>
      <c r="J13" s="38"/>
      <c r="K13" s="38"/>
    </row>
    <row r="14" spans="2:11" x14ac:dyDescent="0.2">
      <c r="B14" s="88" t="s">
        <v>2</v>
      </c>
      <c r="C14" s="92">
        <v>17</v>
      </c>
      <c r="E14" s="89" t="s">
        <v>241</v>
      </c>
      <c r="F14" s="91">
        <v>2</v>
      </c>
      <c r="G14" s="38"/>
      <c r="H14" s="38"/>
      <c r="I14" s="38"/>
      <c r="J14" s="38"/>
      <c r="K14" s="38"/>
    </row>
    <row r="15" spans="2:11" x14ac:dyDescent="0.2">
      <c r="B15" s="88" t="s">
        <v>21</v>
      </c>
      <c r="C15" s="88">
        <v>30</v>
      </c>
      <c r="E15" s="89" t="s">
        <v>242</v>
      </c>
      <c r="F15" s="91">
        <v>16</v>
      </c>
      <c r="G15" s="38"/>
      <c r="H15" s="38"/>
      <c r="I15" s="38"/>
      <c r="J15" s="38"/>
      <c r="K15" s="38"/>
    </row>
    <row r="16" spans="2:11" ht="16.5" thickBot="1" x14ac:dyDescent="0.35">
      <c r="B16" s="88" t="s">
        <v>251</v>
      </c>
      <c r="C16" s="92">
        <v>29.11</v>
      </c>
      <c r="E16" s="90" t="s">
        <v>18</v>
      </c>
      <c r="F16" s="67" t="s">
        <v>210</v>
      </c>
      <c r="G16" s="38"/>
      <c r="H16" s="38"/>
      <c r="I16" s="38"/>
      <c r="J16" s="38"/>
      <c r="K16" s="38"/>
    </row>
    <row r="17" spans="2:11" x14ac:dyDescent="0.2">
      <c r="B17" s="88" t="s">
        <v>129</v>
      </c>
      <c r="C17" s="92">
        <v>10.050000000000001</v>
      </c>
      <c r="E17" s="38"/>
      <c r="F17" s="38"/>
      <c r="G17" s="38"/>
      <c r="H17" s="38"/>
      <c r="I17" s="38"/>
      <c r="J17" s="38"/>
      <c r="K17" s="38"/>
    </row>
    <row r="18" spans="2:11" x14ac:dyDescent="0.2">
      <c r="E18" s="38"/>
      <c r="F18" s="38"/>
      <c r="G18" s="38"/>
      <c r="H18" s="38"/>
      <c r="I18" s="38"/>
      <c r="J18" s="38"/>
      <c r="K18" s="38"/>
    </row>
  </sheetData>
  <dataConsolidate/>
  <mergeCells count="4">
    <mergeCell ref="E4:G4"/>
    <mergeCell ref="E5:G5"/>
    <mergeCell ref="E13:F13"/>
    <mergeCell ref="B10:C10"/>
  </mergeCells>
  <phoneticPr fontId="1" type="noConversion"/>
  <dataValidations count="2">
    <dataValidation type="list" showInputMessage="1" showErrorMessage="1" sqref="L16" xr:uid="{00000000-0002-0000-0000-000000000000}">
      <formula1>"Rectangular,Circular"</formula1>
    </dataValidation>
    <dataValidation type="list" showInputMessage="1" showErrorMessage="1" sqref="F16 I15" xr:uid="{00000000-0002-0000-0000-000001000000}">
      <formula1>"Circular,Rectangular,Round Nose, Sharp Nose"</formula1>
    </dataValidation>
  </dataValidations>
  <pageMargins left="0.75" right="0.75" top="1" bottom="1" header="0.5" footer="0.5"/>
  <pageSetup scale="37" orientation="portrait" r:id="rId1"/>
  <headerFooter alignWithMargins="0"/>
  <cellWatches>
    <cellWatch r="F16"/>
  </cellWatches>
  <drawing r:id="rId2"/>
  <legacyDrawing r:id="rId3"/>
  <controls>
    <mc:AlternateContent xmlns:mc="http://schemas.openxmlformats.org/markup-compatibility/2006">
      <mc:Choice Requires="x14">
        <control shapeId="5337" r:id="rId4" name="Pilegroup_image">
          <controlPr defaultSize="0" autoLine="0" r:id="rId5">
            <anchor moveWithCells="1">
              <from>
                <xdr:col>13</xdr:col>
                <xdr:colOff>266700</xdr:colOff>
                <xdr:row>1</xdr:row>
                <xdr:rowOff>66675</xdr:rowOff>
              </from>
              <to>
                <xdr:col>21</xdr:col>
                <xdr:colOff>400050</xdr:colOff>
                <xdr:row>27</xdr:row>
                <xdr:rowOff>0</xdr:rowOff>
              </to>
            </anchor>
          </controlPr>
        </control>
      </mc:Choice>
      <mc:Fallback>
        <control shapeId="5337" r:id="rId4" name="Pilegroup_image"/>
      </mc:Fallback>
    </mc:AlternateContent>
    <mc:AlternateContent xmlns:mc="http://schemas.openxmlformats.org/markup-compatibility/2006">
      <mc:Choice Requires="x14">
        <control shapeId="5330" r:id="rId6" name="Case3Image">
          <controlPr defaultSize="0" autoLine="0" autoPict="0" r:id="rId7">
            <anchor moveWithCells="1">
              <from>
                <xdr:col>12</xdr:col>
                <xdr:colOff>523875</xdr:colOff>
                <xdr:row>3</xdr:row>
                <xdr:rowOff>57150</xdr:rowOff>
              </from>
              <to>
                <xdr:col>24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5330" r:id="rId6" name="Case3Image"/>
      </mc:Fallback>
    </mc:AlternateContent>
    <mc:AlternateContent xmlns:mc="http://schemas.openxmlformats.org/markup-compatibility/2006">
      <mc:Choice Requires="x14">
        <control shapeId="5329" r:id="rId8" name="Case2Image">
          <controlPr defaultSize="0" autoLine="0" autoPict="0" r:id="rId9">
            <anchor moveWithCells="1">
              <from>
                <xdr:col>12</xdr:col>
                <xdr:colOff>523875</xdr:colOff>
                <xdr:row>3</xdr:row>
                <xdr:rowOff>57150</xdr:rowOff>
              </from>
              <to>
                <xdr:col>17</xdr:col>
                <xdr:colOff>142875</xdr:colOff>
                <xdr:row>25</xdr:row>
                <xdr:rowOff>152400</xdr:rowOff>
              </to>
            </anchor>
          </controlPr>
        </control>
      </mc:Choice>
      <mc:Fallback>
        <control shapeId="5329" r:id="rId8" name="Case2Image"/>
      </mc:Fallback>
    </mc:AlternateContent>
    <mc:AlternateContent xmlns:mc="http://schemas.openxmlformats.org/markup-compatibility/2006">
      <mc:Choice Requires="x14">
        <control shapeId="5322" r:id="rId10" name="Top_View">
          <controlPr defaultSize="0" autoLine="0" r:id="rId11">
            <anchor moveWithCells="1">
              <from>
                <xdr:col>16</xdr:col>
                <xdr:colOff>561975</xdr:colOff>
                <xdr:row>2</xdr:row>
                <xdr:rowOff>123825</xdr:rowOff>
              </from>
              <to>
                <xdr:col>21</xdr:col>
                <xdr:colOff>180975</xdr:colOff>
                <xdr:row>25</xdr:row>
                <xdr:rowOff>28575</xdr:rowOff>
              </to>
            </anchor>
          </controlPr>
        </control>
      </mc:Choice>
      <mc:Fallback>
        <control shapeId="5322" r:id="rId10" name="Top_View"/>
      </mc:Fallback>
    </mc:AlternateContent>
    <mc:AlternateContent xmlns:mc="http://schemas.openxmlformats.org/markup-compatibility/2006">
      <mc:Choice Requires="x14">
        <control shapeId="5238" r:id="rId12" name="Label3">
          <controlPr defaultSize="0" autoLine="0" r:id="rId13">
            <anchor moveWithCells="1">
              <from>
                <xdr:col>0</xdr:col>
                <xdr:colOff>76200</xdr:colOff>
                <xdr:row>27</xdr:row>
                <xdr:rowOff>104775</xdr:rowOff>
              </from>
              <to>
                <xdr:col>1</xdr:col>
                <xdr:colOff>819150</xdr:colOff>
                <xdr:row>29</xdr:row>
                <xdr:rowOff>0</xdr:rowOff>
              </to>
            </anchor>
          </controlPr>
        </control>
      </mc:Choice>
      <mc:Fallback>
        <control shapeId="5238" r:id="rId12" name="Label3"/>
      </mc:Fallback>
    </mc:AlternateContent>
    <mc:AlternateContent xmlns:mc="http://schemas.openxmlformats.org/markup-compatibility/2006">
      <mc:Choice Requires="x14">
        <control shapeId="5138" r:id="rId14" name="Calculate_Button">
          <controlPr defaultSize="0" autoLine="0" r:id="rId15">
            <anchor moveWithCells="1">
              <from>
                <xdr:col>5</xdr:col>
                <xdr:colOff>485775</xdr:colOff>
                <xdr:row>20</xdr:row>
                <xdr:rowOff>142875</xdr:rowOff>
              </from>
              <to>
                <xdr:col>9</xdr:col>
                <xdr:colOff>228600</xdr:colOff>
                <xdr:row>22</xdr:row>
                <xdr:rowOff>133350</xdr:rowOff>
              </to>
            </anchor>
          </controlPr>
        </control>
      </mc:Choice>
      <mc:Fallback>
        <control shapeId="5138" r:id="rId14" name="Calculate_Button"/>
      </mc:Fallback>
    </mc:AlternateContent>
    <mc:AlternateContent xmlns:mc="http://schemas.openxmlformats.org/markup-compatibility/2006">
      <mc:Choice Requires="x14">
        <control shapeId="5237" r:id="rId16" name="Label2">
          <controlPr defaultSize="0" autoLine="0" r:id="rId17">
            <anchor moveWithCells="1">
              <from>
                <xdr:col>0</xdr:col>
                <xdr:colOff>152400</xdr:colOff>
                <xdr:row>35</xdr:row>
                <xdr:rowOff>123825</xdr:rowOff>
              </from>
              <to>
                <xdr:col>2</xdr:col>
                <xdr:colOff>142875</xdr:colOff>
                <xdr:row>42</xdr:row>
                <xdr:rowOff>38100</xdr:rowOff>
              </to>
            </anchor>
          </controlPr>
        </control>
      </mc:Choice>
      <mc:Fallback>
        <control shapeId="5237" r:id="rId16" name="Label2"/>
      </mc:Fallback>
    </mc:AlternateContent>
    <mc:AlternateContent xmlns:mc="http://schemas.openxmlformats.org/markup-compatibility/2006">
      <mc:Choice Requires="x14">
        <control shapeId="5236" r:id="rId18" name="Label1">
          <controlPr defaultSize="0" autoLine="0" r:id="rId19">
            <anchor moveWithCells="1">
              <from>
                <xdr:col>0</xdr:col>
                <xdr:colOff>180975</xdr:colOff>
                <xdr:row>29</xdr:row>
                <xdr:rowOff>28575</xdr:rowOff>
              </from>
              <to>
                <xdr:col>2</xdr:col>
                <xdr:colOff>552450</xdr:colOff>
                <xdr:row>34</xdr:row>
                <xdr:rowOff>133350</xdr:rowOff>
              </to>
            </anchor>
          </controlPr>
        </control>
      </mc:Choice>
      <mc:Fallback>
        <control shapeId="5236" r:id="rId18" name="Label1"/>
      </mc:Fallback>
    </mc:AlternateContent>
    <mc:AlternateContent xmlns:mc="http://schemas.openxmlformats.org/markup-compatibility/2006">
      <mc:Choice Requires="x14">
        <control shapeId="5233" r:id="rId20" name="ProjectedWdith_img">
          <controlPr defaultSize="0" autoLine="0" r:id="rId21">
            <anchor moveWithCells="1">
              <from>
                <xdr:col>10</xdr:col>
                <xdr:colOff>438150</xdr:colOff>
                <xdr:row>22</xdr:row>
                <xdr:rowOff>0</xdr:rowOff>
              </from>
              <to>
                <xdr:col>21</xdr:col>
                <xdr:colOff>200025</xdr:colOff>
                <xdr:row>55</xdr:row>
                <xdr:rowOff>95250</xdr:rowOff>
              </to>
            </anchor>
          </controlPr>
        </control>
      </mc:Choice>
      <mc:Fallback>
        <control shapeId="5233" r:id="rId20" name="ProjectedWdith_img"/>
      </mc:Fallback>
    </mc:AlternateContent>
    <mc:AlternateContent xmlns:mc="http://schemas.openxmlformats.org/markup-compatibility/2006">
      <mc:Choice Requires="x14">
        <control shapeId="5216" r:id="rId22" name="DiagramImage">
          <controlPr defaultSize="0" autoLine="0" r:id="rId23">
            <anchor moveWithCells="1">
              <from>
                <xdr:col>12</xdr:col>
                <xdr:colOff>552450</xdr:colOff>
                <xdr:row>3</xdr:row>
                <xdr:rowOff>76200</xdr:rowOff>
              </from>
              <to>
                <xdr:col>17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5216" r:id="rId22" name="DiagramImage"/>
      </mc:Fallback>
    </mc:AlternateContent>
    <mc:AlternateContent xmlns:mc="http://schemas.openxmlformats.org/markup-compatibility/2006">
      <mc:Choice Requires="x14">
        <control shapeId="5192" r:id="rId24" name="NoPileGroupCheckBox">
          <controlPr defaultSize="0" autoLine="0" r:id="rId25">
            <anchor moveWithCells="1">
              <from>
                <xdr:col>10</xdr:col>
                <xdr:colOff>95250</xdr:colOff>
                <xdr:row>18</xdr:row>
                <xdr:rowOff>38100</xdr:rowOff>
              </from>
              <to>
                <xdr:col>12</xdr:col>
                <xdr:colOff>104775</xdr:colOff>
                <xdr:row>19</xdr:row>
                <xdr:rowOff>152400</xdr:rowOff>
              </to>
            </anchor>
          </controlPr>
        </control>
      </mc:Choice>
      <mc:Fallback>
        <control shapeId="5192" r:id="rId24" name="NoPileGroupCheckBox"/>
      </mc:Fallback>
    </mc:AlternateContent>
    <mc:AlternateContent xmlns:mc="http://schemas.openxmlformats.org/markup-compatibility/2006">
      <mc:Choice Requires="x14">
        <control shapeId="5191" r:id="rId26" name="NoPileCapCheckBox">
          <controlPr defaultSize="0" autoLine="0" r:id="rId27">
            <anchor moveWithCells="1">
              <from>
                <xdr:col>7</xdr:col>
                <xdr:colOff>104775</xdr:colOff>
                <xdr:row>18</xdr:row>
                <xdr:rowOff>38100</xdr:rowOff>
              </from>
              <to>
                <xdr:col>9</xdr:col>
                <xdr:colOff>161925</xdr:colOff>
                <xdr:row>19</xdr:row>
                <xdr:rowOff>152400</xdr:rowOff>
              </to>
            </anchor>
          </controlPr>
        </control>
      </mc:Choice>
      <mc:Fallback>
        <control shapeId="5191" r:id="rId26" name="NoPileCapCheckBox"/>
      </mc:Fallback>
    </mc:AlternateContent>
    <mc:AlternateContent xmlns:mc="http://schemas.openxmlformats.org/markup-compatibility/2006">
      <mc:Choice Requires="x14">
        <control shapeId="5190" r:id="rId28" name="NoColumnCheckBox">
          <controlPr defaultSize="0" autoLine="0" r:id="rId29">
            <anchor moveWithCells="1">
              <from>
                <xdr:col>4</xdr:col>
                <xdr:colOff>47625</xdr:colOff>
                <xdr:row>18</xdr:row>
                <xdr:rowOff>38100</xdr:rowOff>
              </from>
              <to>
                <xdr:col>5</xdr:col>
                <xdr:colOff>247650</xdr:colOff>
                <xdr:row>20</xdr:row>
                <xdr:rowOff>0</xdr:rowOff>
              </to>
            </anchor>
          </controlPr>
        </control>
      </mc:Choice>
      <mc:Fallback>
        <control shapeId="5190" r:id="rId28" name="NoColumnCheckBox"/>
      </mc:Fallback>
    </mc:AlternateContent>
    <mc:AlternateContent xmlns:mc="http://schemas.openxmlformats.org/markup-compatibility/2006">
      <mc:Choice Requires="x14">
        <control shapeId="5183" r:id="rId30" name="SinglePileImage">
          <controlPr locked="0" defaultSize="0" autoLine="0" r:id="rId31">
            <anchor moveWithCells="1">
              <from>
                <xdr:col>9</xdr:col>
                <xdr:colOff>142875</xdr:colOff>
                <xdr:row>4</xdr:row>
                <xdr:rowOff>76200</xdr:rowOff>
              </from>
              <to>
                <xdr:col>20</xdr:col>
                <xdr:colOff>571500</xdr:colOff>
                <xdr:row>24</xdr:row>
                <xdr:rowOff>9525</xdr:rowOff>
              </to>
            </anchor>
          </controlPr>
        </control>
      </mc:Choice>
      <mc:Fallback>
        <control shapeId="5183" r:id="rId30" name="SinglePileImage"/>
      </mc:Fallback>
    </mc:AlternateContent>
    <mc:AlternateContent xmlns:mc="http://schemas.openxmlformats.org/markup-compatibility/2006">
      <mc:Choice Requires="x14">
        <control shapeId="5182" r:id="rId32" name="CaseDescriptionImage">
          <controlPr defaultSize="0" autoLine="0" r:id="rId33">
            <anchor moveWithCells="1">
              <from>
                <xdr:col>3</xdr:col>
                <xdr:colOff>238125</xdr:colOff>
                <xdr:row>25</xdr:row>
                <xdr:rowOff>76200</xdr:rowOff>
              </from>
              <to>
                <xdr:col>10</xdr:col>
                <xdr:colOff>504825</xdr:colOff>
                <xdr:row>43</xdr:row>
                <xdr:rowOff>142875</xdr:rowOff>
              </to>
            </anchor>
          </controlPr>
        </control>
      </mc:Choice>
      <mc:Fallback>
        <control shapeId="5182" r:id="rId32" name="CaseDescriptionImage"/>
      </mc:Fallback>
    </mc:AlternateContent>
    <mc:AlternateContent xmlns:mc="http://schemas.openxmlformats.org/markup-compatibility/2006">
      <mc:Choice Requires="x14">
        <control shapeId="5180" r:id="rId34" name="RestButton">
          <controlPr defaultSize="0" autoLine="0" r:id="rId35">
            <anchor moveWithCells="1">
              <from>
                <xdr:col>0</xdr:col>
                <xdr:colOff>485775</xdr:colOff>
                <xdr:row>21</xdr:row>
                <xdr:rowOff>133350</xdr:rowOff>
              </from>
              <to>
                <xdr:col>1</xdr:col>
                <xdr:colOff>952500</xdr:colOff>
                <xdr:row>23</xdr:row>
                <xdr:rowOff>123825</xdr:rowOff>
              </to>
            </anchor>
          </controlPr>
        </control>
      </mc:Choice>
      <mc:Fallback>
        <control shapeId="5180" r:id="rId34" name="RestButton"/>
      </mc:Fallback>
    </mc:AlternateContent>
    <mc:AlternateContent xmlns:mc="http://schemas.openxmlformats.org/markup-compatibility/2006">
      <mc:Choice Requires="x14">
        <control shapeId="5132" r:id="rId36" name="PierTypeComboBox">
          <controlPr defaultSize="0" autoLine="0" r:id="rId37">
            <anchor moveWithCells="1">
              <from>
                <xdr:col>1</xdr:col>
                <xdr:colOff>333375</xdr:colOff>
                <xdr:row>3</xdr:row>
                <xdr:rowOff>0</xdr:rowOff>
              </from>
              <to>
                <xdr:col>1</xdr:col>
                <xdr:colOff>1438275</xdr:colOff>
                <xdr:row>4</xdr:row>
                <xdr:rowOff>66675</xdr:rowOff>
              </to>
            </anchor>
          </controlPr>
        </control>
      </mc:Choice>
      <mc:Fallback>
        <control shapeId="5132" r:id="rId36" name="PierTypeComboBox"/>
      </mc:Fallback>
    </mc:AlternateContent>
    <mc:AlternateContent xmlns:mc="http://schemas.openxmlformats.org/markup-compatibility/2006">
      <mc:Choice Requires="x14">
        <control shapeId="5131" r:id="rId38" name="UnitsComboBox">
          <controlPr defaultSize="0" autoLine="0" r:id="rId39">
            <anchor moveWithCells="1">
              <from>
                <xdr:col>1</xdr:col>
                <xdr:colOff>342900</xdr:colOff>
                <xdr:row>5</xdr:row>
                <xdr:rowOff>123825</xdr:rowOff>
              </from>
              <to>
                <xdr:col>1</xdr:col>
                <xdr:colOff>1447800</xdr:colOff>
                <xdr:row>7</xdr:row>
                <xdr:rowOff>28575</xdr:rowOff>
              </to>
            </anchor>
          </controlPr>
        </control>
      </mc:Choice>
      <mc:Fallback>
        <control shapeId="5131" r:id="rId38" name="UnitsCombo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22"/>
  <sheetViews>
    <sheetView tabSelected="1" workbookViewId="0">
      <selection sqref="A1:C22"/>
    </sheetView>
  </sheetViews>
  <sheetFormatPr defaultColWidth="9.140625" defaultRowHeight="12.75" x14ac:dyDescent="0.2"/>
  <cols>
    <col min="1" max="1" width="2.28515625" style="10" bestFit="1" customWidth="1"/>
    <col min="2" max="2" width="20.140625" style="10" bestFit="1" customWidth="1"/>
    <col min="3" max="3" width="22.140625" style="10" customWidth="1"/>
    <col min="4" max="5" width="9.140625" style="10"/>
    <col min="6" max="6" width="11.140625" style="10" customWidth="1"/>
    <col min="7" max="16384" width="9.140625" style="10"/>
  </cols>
  <sheetData>
    <row r="1" spans="1:3" x14ac:dyDescent="0.2">
      <c r="A1" s="107" t="s">
        <v>13</v>
      </c>
      <c r="B1" s="107"/>
      <c r="C1" s="107"/>
    </row>
    <row r="2" spans="1:3" ht="15.75" x14ac:dyDescent="0.3">
      <c r="B2" s="10" t="s">
        <v>252</v>
      </c>
      <c r="C2" s="10">
        <v>29.11</v>
      </c>
    </row>
    <row r="3" spans="1:3" ht="14.25" x14ac:dyDescent="0.2">
      <c r="B3" s="10" t="s">
        <v>253</v>
      </c>
      <c r="C3" s="10">
        <v>63.11</v>
      </c>
    </row>
    <row r="4" spans="1:3" ht="14.25" x14ac:dyDescent="0.2">
      <c r="B4" s="10" t="s">
        <v>254</v>
      </c>
      <c r="C4" s="10">
        <v>1.10419E-5</v>
      </c>
    </row>
    <row r="5" spans="1:3" ht="15.75" x14ac:dyDescent="0.3">
      <c r="B5" s="10" t="s">
        <v>248</v>
      </c>
      <c r="C5" s="10">
        <v>0.1</v>
      </c>
    </row>
    <row r="6" spans="1:3" ht="15.75" x14ac:dyDescent="0.3">
      <c r="B6" s="10" t="s">
        <v>255</v>
      </c>
      <c r="C6" s="10">
        <v>0.04</v>
      </c>
    </row>
    <row r="7" spans="1:3" ht="15.75" x14ac:dyDescent="0.3">
      <c r="B7" s="10" t="s">
        <v>256</v>
      </c>
      <c r="C7" s="10">
        <v>1.25</v>
      </c>
    </row>
    <row r="8" spans="1:3" ht="15.75" x14ac:dyDescent="0.3">
      <c r="B8" s="10" t="s">
        <v>257</v>
      </c>
      <c r="C8" s="10">
        <v>18.36</v>
      </c>
    </row>
    <row r="9" spans="1:3" ht="15.75" x14ac:dyDescent="0.3">
      <c r="B9" s="10" t="s">
        <v>22</v>
      </c>
      <c r="C9" s="10">
        <v>8.06</v>
      </c>
    </row>
    <row r="10" spans="1:3" ht="15.75" x14ac:dyDescent="0.3">
      <c r="B10" s="10" t="s">
        <v>258</v>
      </c>
      <c r="C10" s="10">
        <v>14.73</v>
      </c>
    </row>
    <row r="11" spans="1:3" ht="13.5" thickBot="1" x14ac:dyDescent="0.25"/>
    <row r="12" spans="1:3" x14ac:dyDescent="0.2">
      <c r="A12" s="110" t="s">
        <v>45</v>
      </c>
      <c r="B12" s="111"/>
      <c r="C12" s="112"/>
    </row>
    <row r="13" spans="1:3" ht="15.75" x14ac:dyDescent="0.3">
      <c r="A13" s="40" t="s">
        <v>0</v>
      </c>
      <c r="B13" s="38" t="s">
        <v>23</v>
      </c>
      <c r="C13" s="44">
        <v>0.9</v>
      </c>
    </row>
    <row r="14" spans="1:3" ht="14.25" x14ac:dyDescent="0.25">
      <c r="A14" s="40" t="s">
        <v>1</v>
      </c>
      <c r="B14" s="38" t="s">
        <v>259</v>
      </c>
      <c r="C14" s="44">
        <v>4.87</v>
      </c>
    </row>
    <row r="15" spans="1:3" ht="14.25" x14ac:dyDescent="0.2">
      <c r="A15" s="40" t="s">
        <v>9</v>
      </c>
      <c r="B15" s="38" t="s">
        <v>260</v>
      </c>
      <c r="C15" s="44">
        <v>8.77</v>
      </c>
    </row>
    <row r="16" spans="1:3" ht="15.75" x14ac:dyDescent="0.3">
      <c r="A16" s="109" t="s">
        <v>4</v>
      </c>
      <c r="B16" s="38" t="s">
        <v>261</v>
      </c>
      <c r="C16" s="44"/>
    </row>
    <row r="17" spans="1:3" ht="15.75" x14ac:dyDescent="0.3">
      <c r="A17" s="109"/>
      <c r="B17" s="41" t="s">
        <v>262</v>
      </c>
      <c r="C17" s="44">
        <v>3.32</v>
      </c>
    </row>
    <row r="18" spans="1:3" ht="15.75" x14ac:dyDescent="0.3">
      <c r="A18" s="109"/>
      <c r="B18" s="41" t="s">
        <v>263</v>
      </c>
      <c r="C18" s="44">
        <v>26725.61</v>
      </c>
    </row>
    <row r="19" spans="1:3" ht="15.75" x14ac:dyDescent="0.3">
      <c r="A19" s="109"/>
      <c r="B19" s="41" t="s">
        <v>264</v>
      </c>
      <c r="C19" s="44">
        <v>0.92</v>
      </c>
    </row>
    <row r="20" spans="1:3" ht="15.75" x14ac:dyDescent="0.3">
      <c r="A20" s="109"/>
      <c r="B20" s="41" t="s">
        <v>265</v>
      </c>
      <c r="C20" s="44">
        <v>-4.21</v>
      </c>
    </row>
    <row r="21" spans="1:3" ht="15.75" x14ac:dyDescent="0.3">
      <c r="A21" s="109"/>
      <c r="B21" s="41" t="s">
        <v>266</v>
      </c>
      <c r="C21" s="44">
        <v>0.33</v>
      </c>
    </row>
    <row r="22" spans="1:3" ht="15" thickBot="1" x14ac:dyDescent="0.3">
      <c r="A22" s="42"/>
      <c r="B22" s="43" t="s">
        <v>46</v>
      </c>
      <c r="C22" s="39">
        <v>12.37</v>
      </c>
    </row>
  </sheetData>
  <mergeCells count="3">
    <mergeCell ref="A1:C1"/>
    <mergeCell ref="A16:A21"/>
    <mergeCell ref="A12:C12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O40"/>
  <sheetViews>
    <sheetView zoomScaleNormal="100" workbookViewId="0">
      <selection activeCell="B22" sqref="B22"/>
    </sheetView>
  </sheetViews>
  <sheetFormatPr defaultRowHeight="12.75" x14ac:dyDescent="0.2"/>
  <sheetData>
    <row r="1" spans="2:15" x14ac:dyDescent="0.2">
      <c r="B1">
        <v>0.2</v>
      </c>
    </row>
    <row r="2" spans="2:15" x14ac:dyDescent="0.2">
      <c r="B2">
        <v>2650</v>
      </c>
    </row>
    <row r="3" spans="2:15" x14ac:dyDescent="0.2">
      <c r="B3">
        <v>20</v>
      </c>
    </row>
    <row r="4" spans="2:15" x14ac:dyDescent="0.2">
      <c r="B4">
        <v>35</v>
      </c>
    </row>
    <row r="5" spans="2:15" x14ac:dyDescent="0.2">
      <c r="B5">
        <v>0</v>
      </c>
    </row>
    <row r="6" spans="2:15" x14ac:dyDescent="0.2">
      <c r="B6">
        <v>5</v>
      </c>
    </row>
    <row r="7" spans="2:15" x14ac:dyDescent="0.2">
      <c r="B7">
        <v>1</v>
      </c>
      <c r="E7">
        <v>2</v>
      </c>
    </row>
    <row r="8" spans="2:15" x14ac:dyDescent="0.2">
      <c r="E8">
        <v>16</v>
      </c>
    </row>
    <row r="9" spans="2:15" x14ac:dyDescent="0.2">
      <c r="E9" t="s">
        <v>210</v>
      </c>
    </row>
    <row r="14" spans="2:15" x14ac:dyDescent="0.2">
      <c r="I14">
        <v>3.5</v>
      </c>
      <c r="L14">
        <v>0</v>
      </c>
      <c r="O14">
        <v>0</v>
      </c>
    </row>
    <row r="15" spans="2:15" x14ac:dyDescent="0.2">
      <c r="I15">
        <v>10.5</v>
      </c>
      <c r="L15">
        <v>0</v>
      </c>
      <c r="O15">
        <v>0</v>
      </c>
    </row>
    <row r="16" spans="2:15" x14ac:dyDescent="0.2">
      <c r="B16">
        <v>0.1</v>
      </c>
      <c r="I16">
        <v>20</v>
      </c>
      <c r="L16">
        <v>0</v>
      </c>
      <c r="O16">
        <v>0</v>
      </c>
    </row>
    <row r="17" spans="2:15" x14ac:dyDescent="0.2">
      <c r="B17">
        <v>165</v>
      </c>
      <c r="I17">
        <v>0</v>
      </c>
      <c r="L17">
        <v>0</v>
      </c>
      <c r="O17">
        <v>0</v>
      </c>
    </row>
    <row r="18" spans="2:15" x14ac:dyDescent="0.2">
      <c r="B18">
        <v>68</v>
      </c>
      <c r="I18">
        <v>0</v>
      </c>
      <c r="L18" t="s">
        <v>210</v>
      </c>
      <c r="O18">
        <v>0</v>
      </c>
    </row>
    <row r="19" spans="2:15" x14ac:dyDescent="0.2">
      <c r="B19">
        <v>17</v>
      </c>
      <c r="I19" t="s">
        <v>67</v>
      </c>
      <c r="O19" t="s">
        <v>67</v>
      </c>
    </row>
    <row r="20" spans="2:15" x14ac:dyDescent="0.2">
      <c r="B20">
        <v>30</v>
      </c>
      <c r="O20">
        <v>0</v>
      </c>
    </row>
    <row r="21" spans="2:15" x14ac:dyDescent="0.2">
      <c r="B21">
        <v>25.74</v>
      </c>
      <c r="O21">
        <v>0</v>
      </c>
    </row>
    <row r="22" spans="2:15" x14ac:dyDescent="0.2">
      <c r="B22">
        <v>9.09</v>
      </c>
    </row>
    <row r="40" spans="7:7" ht="13.5" thickBot="1" x14ac:dyDescent="0.25">
      <c r="G40" s="67"/>
    </row>
  </sheetData>
  <phoneticPr fontId="0" type="noConversion"/>
  <dataValidations count="1">
    <dataValidation type="list" showInputMessage="1" showErrorMessage="1" sqref="G40" xr:uid="{00000000-0002-0000-0200-000000000000}">
      <formula1>"Rectangular,Circular"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92"/>
  <sheetViews>
    <sheetView topLeftCell="A16" zoomScale="115" zoomScaleNormal="115" workbookViewId="0">
      <selection activeCell="B29" sqref="B29"/>
    </sheetView>
  </sheetViews>
  <sheetFormatPr defaultRowHeight="12.75" x14ac:dyDescent="0.2"/>
  <cols>
    <col min="1" max="1" width="2.42578125" bestFit="1" customWidth="1"/>
    <col min="2" max="2" width="41" bestFit="1" customWidth="1"/>
    <col min="3" max="3" width="21.7109375" bestFit="1" customWidth="1"/>
  </cols>
  <sheetData>
    <row r="1" spans="1:11" ht="12.75" customHeight="1" thickBot="1" x14ac:dyDescent="0.25">
      <c r="A1" s="130" t="s">
        <v>13</v>
      </c>
      <c r="B1" s="130"/>
      <c r="C1" s="108"/>
    </row>
    <row r="2" spans="1:11" ht="15.75" customHeight="1" x14ac:dyDescent="0.3">
      <c r="A2" s="1"/>
      <c r="B2" s="1" t="s">
        <v>212</v>
      </c>
      <c r="C2">
        <v>20.62</v>
      </c>
      <c r="H2" s="121" t="s">
        <v>39</v>
      </c>
      <c r="I2" s="122"/>
      <c r="J2" s="122"/>
      <c r="K2" s="123"/>
    </row>
    <row r="3" spans="1:11" ht="14.25" customHeight="1" x14ac:dyDescent="0.2">
      <c r="A3" s="1"/>
      <c r="B3" s="1" t="s">
        <v>213</v>
      </c>
      <c r="C3">
        <v>63.11</v>
      </c>
      <c r="H3" s="124"/>
      <c r="I3" s="125"/>
      <c r="J3" s="125"/>
      <c r="K3" s="126"/>
    </row>
    <row r="4" spans="1:11" ht="15" customHeight="1" x14ac:dyDescent="0.2">
      <c r="A4" s="1"/>
      <c r="B4" s="20" t="s">
        <v>75</v>
      </c>
      <c r="C4">
        <v>1.10419E-5</v>
      </c>
      <c r="H4" s="124"/>
      <c r="I4" s="125"/>
      <c r="J4" s="125"/>
      <c r="K4" s="126"/>
    </row>
    <row r="5" spans="1:11" ht="15.75" customHeight="1" thickBot="1" x14ac:dyDescent="0.35">
      <c r="A5" s="1"/>
      <c r="B5" s="1" t="s">
        <v>214</v>
      </c>
      <c r="C5">
        <v>0.1</v>
      </c>
      <c r="H5" s="127"/>
      <c r="I5" s="128"/>
      <c r="J5" s="128"/>
      <c r="K5" s="129"/>
    </row>
    <row r="6" spans="1:11" ht="15.75" x14ac:dyDescent="0.3">
      <c r="A6" s="1"/>
      <c r="B6" s="1" t="s">
        <v>215</v>
      </c>
      <c r="C6">
        <v>0.04</v>
      </c>
    </row>
    <row r="7" spans="1:11" ht="15.75" x14ac:dyDescent="0.3">
      <c r="A7" s="1"/>
      <c r="B7" s="1" t="s">
        <v>216</v>
      </c>
      <c r="C7" s="45">
        <v>1.21</v>
      </c>
      <c r="D7" s="6"/>
      <c r="E7" s="6"/>
    </row>
    <row r="8" spans="1:11" ht="15.75" x14ac:dyDescent="0.3">
      <c r="A8" s="1"/>
      <c r="B8" s="1" t="s">
        <v>217</v>
      </c>
      <c r="C8" s="45">
        <v>15.45</v>
      </c>
      <c r="D8" s="6"/>
      <c r="E8" s="6"/>
    </row>
    <row r="9" spans="1:11" ht="15.75" x14ac:dyDescent="0.3">
      <c r="A9" s="1"/>
      <c r="B9" s="1" t="s">
        <v>22</v>
      </c>
      <c r="C9" s="45">
        <v>3.87</v>
      </c>
      <c r="D9" s="6"/>
      <c r="E9" s="6"/>
    </row>
    <row r="10" spans="1:11" ht="15.75" x14ac:dyDescent="0.3">
      <c r="A10" s="1"/>
      <c r="B10" s="1" t="s">
        <v>218</v>
      </c>
      <c r="C10" s="45">
        <v>12.75</v>
      </c>
      <c r="D10" s="6"/>
      <c r="E10" s="6"/>
    </row>
    <row r="11" spans="1:11" x14ac:dyDescent="0.2">
      <c r="A11" s="1"/>
      <c r="B11" s="1"/>
      <c r="C11" s="6"/>
      <c r="D11" s="6"/>
      <c r="E11" s="6"/>
    </row>
    <row r="12" spans="1:11" x14ac:dyDescent="0.2">
      <c r="A12" s="113" t="s">
        <v>14</v>
      </c>
      <c r="B12" s="130"/>
      <c r="C12" s="108"/>
      <c r="D12" s="1"/>
      <c r="E12" s="1"/>
    </row>
    <row r="13" spans="1:11" ht="15.75" x14ac:dyDescent="0.3">
      <c r="A13" s="97" t="s">
        <v>0</v>
      </c>
      <c r="B13" s="1" t="s">
        <v>23</v>
      </c>
      <c r="C13">
        <v>1</v>
      </c>
      <c r="D13" s="1"/>
      <c r="E13" s="20"/>
    </row>
    <row r="14" spans="1:11" ht="14.25" x14ac:dyDescent="0.25">
      <c r="A14" s="97" t="s">
        <v>1</v>
      </c>
      <c r="B14" s="1" t="s">
        <v>219</v>
      </c>
      <c r="C14">
        <v>2.37</v>
      </c>
      <c r="D14" s="1"/>
      <c r="E14" s="1"/>
    </row>
    <row r="15" spans="1:11" ht="15.75" x14ac:dyDescent="0.3">
      <c r="A15" s="97" t="s">
        <v>9</v>
      </c>
      <c r="B15" s="2" t="s">
        <v>220</v>
      </c>
      <c r="C15">
        <v>20.62</v>
      </c>
      <c r="D15" s="1"/>
      <c r="E15" s="1"/>
    </row>
    <row r="16" spans="1:11" ht="15.75" x14ac:dyDescent="0.3">
      <c r="A16" s="97" t="s">
        <v>4</v>
      </c>
      <c r="B16" s="2" t="s">
        <v>221</v>
      </c>
      <c r="C16" s="55" t="s">
        <v>247</v>
      </c>
      <c r="D16" s="1"/>
      <c r="E16" s="1"/>
    </row>
    <row r="17" spans="1:5" ht="15.75" x14ac:dyDescent="0.3">
      <c r="A17" s="116" t="s">
        <v>5</v>
      </c>
      <c r="B17" s="1" t="s">
        <v>211</v>
      </c>
      <c r="D17" s="1"/>
      <c r="E17" s="1"/>
    </row>
    <row r="18" spans="1:5" x14ac:dyDescent="0.2">
      <c r="A18" s="116"/>
      <c r="B18" s="3" t="s">
        <v>19</v>
      </c>
      <c r="C18">
        <v>0</v>
      </c>
      <c r="D18" s="1"/>
      <c r="E18" s="1"/>
    </row>
    <row r="19" spans="1:5" ht="15.75" x14ac:dyDescent="0.3">
      <c r="A19" s="116"/>
      <c r="B19" s="3" t="s">
        <v>222</v>
      </c>
      <c r="C19">
        <v>0</v>
      </c>
      <c r="D19" s="1"/>
      <c r="E19" s="1"/>
    </row>
    <row r="20" spans="1:5" ht="15.75" x14ac:dyDescent="0.3">
      <c r="A20" s="116"/>
      <c r="B20" s="3" t="s">
        <v>24</v>
      </c>
      <c r="C20">
        <v>1</v>
      </c>
      <c r="D20" s="1"/>
      <c r="E20" s="1"/>
    </row>
    <row r="21" spans="1:5" ht="15.75" x14ac:dyDescent="0.3">
      <c r="A21" s="116" t="s">
        <v>6</v>
      </c>
      <c r="B21" s="5" t="s">
        <v>223</v>
      </c>
      <c r="D21" s="1"/>
      <c r="E21" s="1"/>
    </row>
    <row r="22" spans="1:5" ht="15.75" x14ac:dyDescent="0.3">
      <c r="A22" s="116"/>
      <c r="B22" s="4" t="s">
        <v>224</v>
      </c>
      <c r="C22">
        <v>0.97</v>
      </c>
      <c r="D22" s="1"/>
      <c r="E22" s="1"/>
    </row>
    <row r="23" spans="1:5" ht="15.75" x14ac:dyDescent="0.3">
      <c r="A23" s="116"/>
      <c r="B23" s="4" t="s">
        <v>225</v>
      </c>
      <c r="C23">
        <v>1.43E-2</v>
      </c>
      <c r="D23" s="1"/>
      <c r="E23" s="1"/>
    </row>
    <row r="24" spans="1:5" x14ac:dyDescent="0.2">
      <c r="A24" s="46"/>
      <c r="B24" s="4"/>
      <c r="D24" s="1"/>
      <c r="E24" s="1"/>
    </row>
    <row r="25" spans="1:5" x14ac:dyDescent="0.2">
      <c r="A25" s="131" t="s">
        <v>36</v>
      </c>
      <c r="B25" s="130"/>
      <c r="C25" s="108"/>
      <c r="D25" s="1"/>
      <c r="E25" s="1"/>
    </row>
    <row r="26" spans="1:5" ht="15.75" x14ac:dyDescent="0.3">
      <c r="A26" s="99" t="s">
        <v>0</v>
      </c>
      <c r="B26" s="48" t="s">
        <v>23</v>
      </c>
      <c r="C26" t="s">
        <v>209</v>
      </c>
      <c r="D26" s="1"/>
      <c r="E26" s="1"/>
    </row>
    <row r="27" spans="1:5" ht="14.25" x14ac:dyDescent="0.25">
      <c r="A27" s="99" t="s">
        <v>1</v>
      </c>
      <c r="B27" s="48" t="s">
        <v>219</v>
      </c>
      <c r="C27" t="s">
        <v>209</v>
      </c>
      <c r="D27" s="1"/>
      <c r="E27" s="1"/>
    </row>
    <row r="28" spans="1:5" ht="15.75" x14ac:dyDescent="0.3">
      <c r="A28" s="99" t="s">
        <v>9</v>
      </c>
      <c r="B28" s="48" t="s">
        <v>226</v>
      </c>
      <c r="C28" t="s">
        <v>209</v>
      </c>
      <c r="D28" s="1"/>
      <c r="E28" s="1"/>
    </row>
    <row r="29" spans="1:5" ht="15.75" x14ac:dyDescent="0.3">
      <c r="A29" s="99" t="s">
        <v>4</v>
      </c>
      <c r="B29" s="2" t="s">
        <v>227</v>
      </c>
      <c r="C29" t="s">
        <v>209</v>
      </c>
      <c r="D29" s="1"/>
      <c r="E29" s="1"/>
    </row>
    <row r="30" spans="1:5" ht="15.75" x14ac:dyDescent="0.3">
      <c r="A30" s="117" t="s">
        <v>5</v>
      </c>
      <c r="B30" s="48" t="s">
        <v>41</v>
      </c>
      <c r="C30" t="s">
        <v>209</v>
      </c>
      <c r="D30" s="1"/>
      <c r="E30" s="1"/>
    </row>
    <row r="31" spans="1:5" ht="15.75" x14ac:dyDescent="0.3">
      <c r="A31" s="118"/>
      <c r="B31" s="4" t="s">
        <v>228</v>
      </c>
      <c r="C31" t="s">
        <v>209</v>
      </c>
      <c r="D31" s="1"/>
      <c r="E31" s="1"/>
    </row>
    <row r="32" spans="1:5" ht="15.75" x14ac:dyDescent="0.3">
      <c r="A32" s="118"/>
      <c r="B32" s="3" t="s">
        <v>229</v>
      </c>
      <c r="C32" t="s">
        <v>209</v>
      </c>
      <c r="D32" s="1"/>
      <c r="E32" s="1"/>
    </row>
    <row r="33" spans="1:5" ht="15.75" x14ac:dyDescent="0.3">
      <c r="A33" s="118"/>
      <c r="B33" s="37" t="s">
        <v>130</v>
      </c>
      <c r="C33">
        <v>0</v>
      </c>
      <c r="D33" s="1"/>
      <c r="E33" s="1"/>
    </row>
    <row r="34" spans="1:5" x14ac:dyDescent="0.2">
      <c r="A34" s="98"/>
      <c r="B34" s="3"/>
      <c r="D34" s="1"/>
      <c r="E34" s="1"/>
    </row>
    <row r="35" spans="1:5" x14ac:dyDescent="0.2">
      <c r="A35" s="116" t="s">
        <v>37</v>
      </c>
      <c r="B35" s="108"/>
      <c r="C35" s="108"/>
      <c r="D35" s="1"/>
      <c r="E35" s="1"/>
    </row>
    <row r="36" spans="1:5" ht="15.75" x14ac:dyDescent="0.3">
      <c r="A36" s="114" t="s">
        <v>0</v>
      </c>
      <c r="B36" s="4" t="s">
        <v>42</v>
      </c>
      <c r="D36" s="1"/>
      <c r="E36" s="1"/>
    </row>
    <row r="37" spans="1:5" ht="15.75" x14ac:dyDescent="0.3">
      <c r="A37" s="115"/>
      <c r="B37" s="4" t="s">
        <v>230</v>
      </c>
      <c r="C37" s="45" t="s">
        <v>68</v>
      </c>
      <c r="D37" s="1"/>
      <c r="E37" s="1"/>
    </row>
    <row r="38" spans="1:5" ht="15.75" x14ac:dyDescent="0.3">
      <c r="A38" s="115"/>
      <c r="B38" s="4" t="s">
        <v>231</v>
      </c>
      <c r="C38" t="s">
        <v>68</v>
      </c>
      <c r="D38" s="1"/>
      <c r="E38" s="1"/>
    </row>
    <row r="39" spans="1:5" ht="15.75" x14ac:dyDescent="0.3">
      <c r="A39" s="115"/>
      <c r="B39" s="4" t="s">
        <v>232</v>
      </c>
      <c r="C39" s="45" t="s">
        <v>68</v>
      </c>
      <c r="D39" s="1"/>
      <c r="E39" s="1"/>
    </row>
    <row r="40" spans="1:5" ht="15.75" x14ac:dyDescent="0.3">
      <c r="A40" s="115"/>
      <c r="B40" s="4" t="s">
        <v>233</v>
      </c>
      <c r="C40" s="45" t="s">
        <v>68</v>
      </c>
      <c r="D40" s="1"/>
      <c r="E40" s="1"/>
    </row>
    <row r="41" spans="1:5" ht="15.75" x14ac:dyDescent="0.3">
      <c r="A41" s="115"/>
      <c r="B41" s="4" t="s">
        <v>234</v>
      </c>
      <c r="C41" t="s">
        <v>68</v>
      </c>
      <c r="D41" s="1"/>
      <c r="E41" s="1"/>
    </row>
    <row r="42" spans="1:5" ht="15.75" x14ac:dyDescent="0.3">
      <c r="A42" s="115"/>
      <c r="B42" s="4" t="s">
        <v>235</v>
      </c>
      <c r="C42" t="s">
        <v>68</v>
      </c>
      <c r="D42" s="1"/>
      <c r="E42" s="1"/>
    </row>
    <row r="43" spans="1:5" ht="15.75" x14ac:dyDescent="0.3">
      <c r="A43" s="98"/>
      <c r="B43" s="37" t="s">
        <v>131</v>
      </c>
      <c r="D43" s="1"/>
      <c r="E43" s="1"/>
    </row>
    <row r="44" spans="1:5" x14ac:dyDescent="0.2">
      <c r="A44" s="118" t="s">
        <v>1</v>
      </c>
      <c r="B44" s="76" t="s">
        <v>132</v>
      </c>
      <c r="C44" t="s">
        <v>68</v>
      </c>
      <c r="D44" s="1"/>
      <c r="E44" s="1"/>
    </row>
    <row r="45" spans="1:5" x14ac:dyDescent="0.2">
      <c r="A45" s="118"/>
      <c r="B45" s="20"/>
      <c r="C45" t="s">
        <v>68</v>
      </c>
      <c r="D45" s="20"/>
    </row>
    <row r="46" spans="1:5" x14ac:dyDescent="0.2">
      <c r="A46" s="118"/>
      <c r="B46" s="20"/>
      <c r="D46" s="1"/>
      <c r="E46" s="1"/>
    </row>
    <row r="47" spans="1:5" ht="15.75" x14ac:dyDescent="0.3">
      <c r="A47" s="118" t="s">
        <v>9</v>
      </c>
      <c r="B47" s="5" t="s">
        <v>25</v>
      </c>
      <c r="C47" t="s">
        <v>68</v>
      </c>
      <c r="D47" s="1"/>
      <c r="E47" s="1"/>
    </row>
    <row r="48" spans="1:5" x14ac:dyDescent="0.2">
      <c r="A48" s="118"/>
      <c r="B48" s="4" t="s">
        <v>10</v>
      </c>
      <c r="C48" t="s">
        <v>68</v>
      </c>
      <c r="D48" s="1"/>
      <c r="E48" s="69"/>
    </row>
    <row r="49" spans="1:5" ht="15.75" x14ac:dyDescent="0.3">
      <c r="A49" s="118"/>
      <c r="B49" s="47" t="s">
        <v>26</v>
      </c>
      <c r="C49" t="s">
        <v>68</v>
      </c>
      <c r="D49" s="1"/>
      <c r="E49" s="1"/>
    </row>
    <row r="50" spans="1:5" ht="15.75" x14ac:dyDescent="0.3">
      <c r="A50" s="118"/>
      <c r="B50" s="4" t="s">
        <v>27</v>
      </c>
      <c r="C50" t="s">
        <v>68</v>
      </c>
      <c r="D50" s="1"/>
    </row>
    <row r="51" spans="1:5" ht="15.75" x14ac:dyDescent="0.3">
      <c r="A51" s="118"/>
      <c r="B51" s="37" t="s">
        <v>28</v>
      </c>
      <c r="C51" t="s">
        <v>68</v>
      </c>
      <c r="D51" s="1"/>
      <c r="E51" s="1"/>
    </row>
    <row r="52" spans="1:5" ht="15.75" x14ac:dyDescent="0.3">
      <c r="A52" s="98" t="s">
        <v>4</v>
      </c>
      <c r="B52" s="5" t="s">
        <v>236</v>
      </c>
      <c r="C52" t="s">
        <v>68</v>
      </c>
      <c r="D52" s="1"/>
      <c r="E52" s="2"/>
    </row>
    <row r="53" spans="1:5" ht="15.75" x14ac:dyDescent="0.3">
      <c r="A53" s="98" t="s">
        <v>5</v>
      </c>
      <c r="B53" s="5" t="s">
        <v>29</v>
      </c>
      <c r="C53" t="s">
        <v>68</v>
      </c>
      <c r="D53" s="1"/>
      <c r="E53" s="1"/>
    </row>
    <row r="54" spans="1:5" ht="15.75" x14ac:dyDescent="0.3">
      <c r="A54" s="98" t="s">
        <v>6</v>
      </c>
      <c r="B54" s="5" t="s">
        <v>30</v>
      </c>
      <c r="C54" t="s">
        <v>68</v>
      </c>
      <c r="D54" s="1"/>
    </row>
    <row r="55" spans="1:5" x14ac:dyDescent="0.2">
      <c r="A55" s="98" t="s">
        <v>7</v>
      </c>
      <c r="B55" s="76" t="s">
        <v>20</v>
      </c>
      <c r="D55" s="1"/>
      <c r="E55" s="20"/>
    </row>
    <row r="56" spans="1:5" ht="15.75" x14ac:dyDescent="0.3">
      <c r="A56" s="118" t="s">
        <v>8</v>
      </c>
      <c r="B56" s="22" t="s">
        <v>31</v>
      </c>
      <c r="C56" t="s">
        <v>68</v>
      </c>
      <c r="D56" s="1"/>
      <c r="E56" s="1"/>
    </row>
    <row r="57" spans="1:5" x14ac:dyDescent="0.2">
      <c r="A57" s="118"/>
      <c r="B57" s="119"/>
      <c r="C57" s="120" t="s">
        <v>68</v>
      </c>
      <c r="D57" s="1"/>
      <c r="E57" s="1"/>
    </row>
    <row r="58" spans="1:5" x14ac:dyDescent="0.2">
      <c r="A58" s="118"/>
      <c r="B58" s="120"/>
      <c r="C58" s="120"/>
      <c r="D58" s="1"/>
      <c r="E58" s="1"/>
    </row>
    <row r="59" spans="1:5" x14ac:dyDescent="0.2">
      <c r="A59" s="118"/>
      <c r="B59" s="120"/>
      <c r="C59" s="120"/>
      <c r="D59" s="1"/>
      <c r="E59" s="1"/>
    </row>
    <row r="60" spans="1:5" ht="15.75" x14ac:dyDescent="0.2">
      <c r="A60" s="118"/>
      <c r="B60" s="57" t="s">
        <v>32</v>
      </c>
      <c r="C60" t="s">
        <v>68</v>
      </c>
      <c r="D60" s="1"/>
      <c r="E60" s="1"/>
    </row>
    <row r="61" spans="1:5" ht="15.75" x14ac:dyDescent="0.3">
      <c r="A61" s="46" t="s">
        <v>3</v>
      </c>
      <c r="B61" s="22" t="s">
        <v>237</v>
      </c>
      <c r="C61" s="45">
        <v>0</v>
      </c>
      <c r="D61" s="1"/>
      <c r="E61" s="1"/>
    </row>
    <row r="62" spans="1:5" x14ac:dyDescent="0.2">
      <c r="A62" s="46"/>
      <c r="B62" s="22"/>
      <c r="D62" s="1"/>
      <c r="E62" s="1"/>
    </row>
    <row r="63" spans="1:5" x14ac:dyDescent="0.2">
      <c r="A63" s="113" t="s">
        <v>38</v>
      </c>
      <c r="B63" s="108"/>
      <c r="C63" s="108"/>
      <c r="D63" s="1"/>
      <c r="E63" s="1"/>
    </row>
    <row r="64" spans="1:5" ht="14.25" x14ac:dyDescent="0.2">
      <c r="A64" s="98" t="s">
        <v>0</v>
      </c>
      <c r="B64" s="22" t="s">
        <v>33</v>
      </c>
      <c r="C64">
        <v>0.01</v>
      </c>
      <c r="D64" s="1"/>
      <c r="E64" s="1"/>
    </row>
    <row r="65" spans="1:5" ht="15.75" x14ac:dyDescent="0.3">
      <c r="A65" s="114" t="s">
        <v>1</v>
      </c>
      <c r="B65" s="100" t="s">
        <v>34</v>
      </c>
      <c r="D65" s="1"/>
      <c r="E65" s="1"/>
    </row>
    <row r="66" spans="1:5" ht="15.75" x14ac:dyDescent="0.3">
      <c r="A66" s="115"/>
      <c r="B66" s="3" t="s">
        <v>238</v>
      </c>
      <c r="C66">
        <v>0.01</v>
      </c>
      <c r="E66" s="1"/>
    </row>
    <row r="67" spans="1:5" ht="15.75" x14ac:dyDescent="0.3">
      <c r="A67" s="115"/>
      <c r="B67" s="3" t="s">
        <v>239</v>
      </c>
      <c r="C67">
        <v>1441.96</v>
      </c>
      <c r="D67" s="1"/>
      <c r="E67" s="1"/>
    </row>
    <row r="68" spans="1:5" ht="15.75" x14ac:dyDescent="0.3">
      <c r="A68" s="115"/>
      <c r="B68" s="3" t="s">
        <v>232</v>
      </c>
      <c r="C68">
        <v>47.67</v>
      </c>
      <c r="D68" s="1"/>
      <c r="E68" s="1"/>
    </row>
    <row r="69" spans="1:5" ht="15.75" x14ac:dyDescent="0.3">
      <c r="A69" s="115"/>
      <c r="B69" s="3" t="s">
        <v>233</v>
      </c>
      <c r="C69">
        <v>1</v>
      </c>
      <c r="D69" s="1"/>
      <c r="E69" s="1"/>
    </row>
    <row r="70" spans="1:5" ht="15.75" x14ac:dyDescent="0.3">
      <c r="A70" s="115"/>
      <c r="B70" s="3" t="s">
        <v>240</v>
      </c>
      <c r="C70">
        <v>-1.2</v>
      </c>
      <c r="D70" s="1"/>
      <c r="E70" s="1"/>
    </row>
    <row r="71" spans="1:5" ht="14.25" x14ac:dyDescent="0.25">
      <c r="A71" s="115"/>
      <c r="B71" s="21" t="s">
        <v>133</v>
      </c>
      <c r="C71">
        <v>0.03</v>
      </c>
      <c r="D71" s="1"/>
      <c r="E71" s="1"/>
    </row>
    <row r="72" spans="1:5" x14ac:dyDescent="0.2">
      <c r="A72" s="46"/>
      <c r="B72" s="5"/>
      <c r="D72" s="1"/>
      <c r="E72" s="1"/>
    </row>
    <row r="73" spans="1:5" x14ac:dyDescent="0.2">
      <c r="A73" s="46"/>
      <c r="B73" s="48"/>
      <c r="D73" s="1"/>
      <c r="E73" s="1"/>
    </row>
    <row r="74" spans="1:5" x14ac:dyDescent="0.2">
      <c r="A74" s="46"/>
      <c r="B74" s="4"/>
      <c r="D74" s="1"/>
      <c r="E74" s="1"/>
    </row>
    <row r="75" spans="1:5" x14ac:dyDescent="0.2">
      <c r="A75" s="46"/>
      <c r="B75" s="4"/>
      <c r="D75" s="1"/>
      <c r="E75" s="1"/>
    </row>
    <row r="76" spans="1:5" x14ac:dyDescent="0.2">
      <c r="A76" s="46"/>
      <c r="B76" s="4"/>
      <c r="D76" s="1"/>
      <c r="E76" s="1"/>
    </row>
    <row r="77" spans="1:5" x14ac:dyDescent="0.2">
      <c r="A77" s="46"/>
      <c r="B77" s="3"/>
      <c r="C77" s="45"/>
      <c r="D77" s="1"/>
      <c r="E77" s="1"/>
    </row>
    <row r="78" spans="1:5" x14ac:dyDescent="0.2">
      <c r="A78" s="46"/>
      <c r="B78" s="3"/>
      <c r="D78" s="1"/>
      <c r="E78" s="1"/>
    </row>
    <row r="79" spans="1:5" x14ac:dyDescent="0.2">
      <c r="A79" s="46"/>
      <c r="B79" s="37"/>
      <c r="D79" s="1"/>
      <c r="E79" s="1"/>
    </row>
    <row r="80" spans="1:5" x14ac:dyDescent="0.2">
      <c r="A80" s="19"/>
      <c r="B80" s="18"/>
      <c r="D80" s="1"/>
      <c r="E80" s="1"/>
    </row>
    <row r="81" spans="1:5" x14ac:dyDescent="0.2">
      <c r="A81" s="19"/>
      <c r="B81" s="18"/>
      <c r="D81" s="1"/>
      <c r="E81" s="1"/>
    </row>
    <row r="82" spans="1:5" x14ac:dyDescent="0.2">
      <c r="A82" s="19"/>
      <c r="B82" s="4"/>
      <c r="D82" s="1"/>
      <c r="E82" s="1"/>
    </row>
    <row r="83" spans="1:5" x14ac:dyDescent="0.2">
      <c r="A83" s="19"/>
      <c r="B83" s="3"/>
      <c r="D83" s="1"/>
      <c r="E83" s="1"/>
    </row>
    <row r="84" spans="1:5" x14ac:dyDescent="0.2">
      <c r="A84" s="19"/>
      <c r="B84" s="21"/>
      <c r="D84" s="1"/>
      <c r="E84" s="1"/>
    </row>
    <row r="85" spans="1:5" x14ac:dyDescent="0.2">
      <c r="A85" s="19"/>
      <c r="B85" s="3"/>
      <c r="D85" s="1"/>
      <c r="E85" s="1"/>
    </row>
    <row r="86" spans="1:5" x14ac:dyDescent="0.2">
      <c r="A86" s="19"/>
      <c r="B86" s="3"/>
      <c r="D86" s="1"/>
      <c r="E86" s="1"/>
    </row>
    <row r="87" spans="1:5" x14ac:dyDescent="0.2">
      <c r="A87" s="19"/>
      <c r="B87" s="3"/>
      <c r="D87" s="1"/>
      <c r="E87" s="1"/>
    </row>
    <row r="88" spans="1:5" x14ac:dyDescent="0.2">
      <c r="A88" s="19"/>
      <c r="B88" s="3"/>
      <c r="D88" s="1"/>
      <c r="E88" s="1"/>
    </row>
    <row r="89" spans="1:5" x14ac:dyDescent="0.2">
      <c r="A89" s="19"/>
      <c r="B89" s="3"/>
      <c r="D89" s="1"/>
      <c r="E89" s="1"/>
    </row>
    <row r="90" spans="1:5" x14ac:dyDescent="0.2">
      <c r="A90" s="19"/>
      <c r="B90" s="3"/>
      <c r="D90" s="1"/>
      <c r="E90" s="1"/>
    </row>
    <row r="91" spans="1:5" x14ac:dyDescent="0.2">
      <c r="A91" s="19"/>
      <c r="B91" s="3"/>
      <c r="D91" s="1"/>
      <c r="E91" s="1"/>
    </row>
    <row r="92" spans="1:5" x14ac:dyDescent="0.2">
      <c r="A92" s="19"/>
      <c r="B92" s="21"/>
      <c r="D92" s="1"/>
      <c r="E92" s="1"/>
    </row>
  </sheetData>
  <dataConsolidate/>
  <mergeCells count="16">
    <mergeCell ref="H2:K5"/>
    <mergeCell ref="A1:C1"/>
    <mergeCell ref="A12:C12"/>
    <mergeCell ref="A25:C25"/>
    <mergeCell ref="A35:C35"/>
    <mergeCell ref="A63:C63"/>
    <mergeCell ref="A65:A71"/>
    <mergeCell ref="A17:A20"/>
    <mergeCell ref="A21:A23"/>
    <mergeCell ref="A30:A33"/>
    <mergeCell ref="A36:A42"/>
    <mergeCell ref="A44:A46"/>
    <mergeCell ref="A47:A51"/>
    <mergeCell ref="A56:A60"/>
    <mergeCell ref="B57:B59"/>
    <mergeCell ref="C57:C59"/>
  </mergeCells>
  <phoneticPr fontId="1" type="noConversion"/>
  <pageMargins left="0.75" right="0.75" top="1" bottom="0.46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10250" r:id="rId4">
          <objectPr defaultSize="0" autoPict="0" r:id="rId5">
            <anchor moveWithCells="1" sizeWithCells="1">
              <from>
                <xdr:col>3</xdr:col>
                <xdr:colOff>0</xdr:colOff>
                <xdr:row>63</xdr:row>
                <xdr:rowOff>180975</xdr:rowOff>
              </from>
              <to>
                <xdr:col>3</xdr:col>
                <xdr:colOff>0</xdr:colOff>
                <xdr:row>65</xdr:row>
                <xdr:rowOff>47625</xdr:rowOff>
              </to>
            </anchor>
          </objectPr>
        </oleObject>
      </mc:Choice>
      <mc:Fallback>
        <oleObject progId="Equation.DSMT4" shapeId="10250" r:id="rId4"/>
      </mc:Fallback>
    </mc:AlternateContent>
    <mc:AlternateContent xmlns:mc="http://schemas.openxmlformats.org/markup-compatibility/2006">
      <mc:Choice Requires="x14">
        <oleObject progId="Equation.DSMT4" shapeId="10251" r:id="rId6">
          <objectPr defaultSize="0" autoPict="0" r:id="rId7">
            <anchor moveWithCells="1" sizeWithCells="1">
              <from>
                <xdr:col>3</xdr:col>
                <xdr:colOff>0</xdr:colOff>
                <xdr:row>63</xdr:row>
                <xdr:rowOff>180975</xdr:rowOff>
              </from>
              <to>
                <xdr:col>3</xdr:col>
                <xdr:colOff>0</xdr:colOff>
                <xdr:row>65</xdr:row>
                <xdr:rowOff>19050</xdr:rowOff>
              </to>
            </anchor>
          </objectPr>
        </oleObject>
      </mc:Choice>
      <mc:Fallback>
        <oleObject progId="Equation.DSMT4" shapeId="10251" r:id="rId6"/>
      </mc:Fallback>
    </mc:AlternateContent>
    <mc:AlternateContent xmlns:mc="http://schemas.openxmlformats.org/markup-compatibility/2006">
      <mc:Choice Requires="x14">
        <oleObject progId="Equation.DSMT4" shapeId="10252" r:id="rId8">
          <objectPr defaultSize="0" autoPict="0" r:id="rId5">
            <anchor moveWithCells="1" sizeWithCells="1">
              <from>
                <xdr:col>3</xdr:col>
                <xdr:colOff>0</xdr:colOff>
                <xdr:row>65</xdr:row>
                <xdr:rowOff>142875</xdr:rowOff>
              </from>
              <to>
                <xdr:col>3</xdr:col>
                <xdr:colOff>0</xdr:colOff>
                <xdr:row>67</xdr:row>
                <xdr:rowOff>38100</xdr:rowOff>
              </to>
            </anchor>
          </objectPr>
        </oleObject>
      </mc:Choice>
      <mc:Fallback>
        <oleObject progId="Equation.DSMT4" shapeId="10252" r:id="rId8"/>
      </mc:Fallback>
    </mc:AlternateContent>
    <mc:AlternateContent xmlns:mc="http://schemas.openxmlformats.org/markup-compatibility/2006">
      <mc:Choice Requires="x14">
        <oleObject progId="Equation.DSMT4" shapeId="10253" r:id="rId9">
          <objectPr defaultSize="0" autoPict="0" r:id="rId7">
            <anchor moveWithCells="1" sizeWithCells="1">
              <from>
                <xdr:col>3</xdr:col>
                <xdr:colOff>0</xdr:colOff>
                <xdr:row>64</xdr:row>
                <xdr:rowOff>152400</xdr:rowOff>
              </from>
              <to>
                <xdr:col>3</xdr:col>
                <xdr:colOff>0</xdr:colOff>
                <xdr:row>66</xdr:row>
                <xdr:rowOff>19050</xdr:rowOff>
              </to>
            </anchor>
          </objectPr>
        </oleObject>
      </mc:Choice>
      <mc:Fallback>
        <oleObject progId="Equation.DSMT4" shapeId="10253" r:id="rId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92"/>
  <sheetViews>
    <sheetView zoomScale="115" zoomScaleNormal="115" workbookViewId="0">
      <selection activeCell="N19" sqref="N19"/>
    </sheetView>
  </sheetViews>
  <sheetFormatPr defaultRowHeight="12.75" x14ac:dyDescent="0.2"/>
  <cols>
    <col min="1" max="1" width="2.42578125" bestFit="1" customWidth="1"/>
    <col min="2" max="2" width="41" bestFit="1" customWidth="1"/>
    <col min="3" max="3" width="24.5703125" customWidth="1"/>
  </cols>
  <sheetData>
    <row r="1" spans="1:11" ht="12.75" customHeight="1" thickBot="1" x14ac:dyDescent="0.25">
      <c r="A1" s="130" t="s">
        <v>13</v>
      </c>
      <c r="B1" s="130"/>
      <c r="C1" s="108"/>
    </row>
    <row r="2" spans="1:11" ht="15.75" customHeight="1" x14ac:dyDescent="0.3">
      <c r="A2" s="1"/>
      <c r="B2" s="1" t="s">
        <v>134</v>
      </c>
      <c r="C2">
        <v>13.6</v>
      </c>
      <c r="H2" s="121" t="s">
        <v>39</v>
      </c>
      <c r="I2" s="122"/>
      <c r="J2" s="122"/>
      <c r="K2" s="123"/>
    </row>
    <row r="3" spans="1:11" ht="14.25" customHeight="1" x14ac:dyDescent="0.2">
      <c r="A3" s="1"/>
      <c r="B3" s="1" t="s">
        <v>135</v>
      </c>
      <c r="C3">
        <v>62.36</v>
      </c>
      <c r="H3" s="124"/>
      <c r="I3" s="125"/>
      <c r="J3" s="125"/>
      <c r="K3" s="126"/>
    </row>
    <row r="4" spans="1:11" ht="15" customHeight="1" x14ac:dyDescent="0.2">
      <c r="A4" s="1"/>
      <c r="B4" s="20" t="s">
        <v>168</v>
      </c>
      <c r="C4">
        <v>1.2087699999999999E-5</v>
      </c>
      <c r="H4" s="124"/>
      <c r="I4" s="125"/>
      <c r="J4" s="125"/>
      <c r="K4" s="126"/>
    </row>
    <row r="5" spans="1:11" ht="15.75" customHeight="1" thickBot="1" x14ac:dyDescent="0.35">
      <c r="A5" s="1"/>
      <c r="B5" s="1" t="s">
        <v>136</v>
      </c>
      <c r="C5">
        <v>0.35</v>
      </c>
      <c r="H5" s="127"/>
      <c r="I5" s="128"/>
      <c r="J5" s="128"/>
      <c r="K5" s="129"/>
    </row>
    <row r="6" spans="1:11" ht="15.75" x14ac:dyDescent="0.3">
      <c r="A6" s="1"/>
      <c r="B6" s="1" t="s">
        <v>137</v>
      </c>
      <c r="C6">
        <v>4.5999999999999999E-2</v>
      </c>
    </row>
    <row r="7" spans="1:11" ht="15.75" x14ac:dyDescent="0.3">
      <c r="A7" s="1"/>
      <c r="B7" s="1" t="s">
        <v>138</v>
      </c>
      <c r="C7" s="45">
        <v>1.22</v>
      </c>
      <c r="D7" s="6"/>
      <c r="E7" s="6"/>
    </row>
    <row r="8" spans="1:11" ht="15.75" x14ac:dyDescent="0.3">
      <c r="A8" s="1"/>
      <c r="B8" s="1" t="s">
        <v>139</v>
      </c>
      <c r="C8" s="45">
        <v>12.55</v>
      </c>
      <c r="D8" s="6"/>
      <c r="E8" s="6"/>
    </row>
    <row r="9" spans="1:11" ht="15.75" x14ac:dyDescent="0.3">
      <c r="A9" s="1"/>
      <c r="B9" s="1" t="s">
        <v>22</v>
      </c>
      <c r="C9" s="45">
        <v>1.23</v>
      </c>
      <c r="D9" s="6"/>
      <c r="E9" s="6"/>
    </row>
    <row r="10" spans="1:11" ht="15.75" x14ac:dyDescent="0.3">
      <c r="A10" s="1"/>
      <c r="B10" s="1" t="s">
        <v>140</v>
      </c>
      <c r="C10" s="45">
        <v>10.27</v>
      </c>
      <c r="D10" s="6"/>
      <c r="E10" s="6"/>
    </row>
    <row r="11" spans="1:11" x14ac:dyDescent="0.2">
      <c r="A11" s="1"/>
      <c r="B11" s="1"/>
      <c r="C11" s="79"/>
      <c r="D11" s="6"/>
      <c r="E11" s="6"/>
    </row>
    <row r="12" spans="1:11" x14ac:dyDescent="0.2">
      <c r="A12" s="130" t="s">
        <v>14</v>
      </c>
      <c r="B12" s="130"/>
      <c r="C12" s="130"/>
      <c r="D12" s="1"/>
      <c r="E12" s="1"/>
    </row>
    <row r="13" spans="1:11" ht="15.75" x14ac:dyDescent="0.3">
      <c r="A13" s="78" t="s">
        <v>0</v>
      </c>
      <c r="B13" s="1" t="s">
        <v>23</v>
      </c>
      <c r="C13" t="s">
        <v>122</v>
      </c>
      <c r="D13" s="1"/>
      <c r="E13" s="20"/>
    </row>
    <row r="14" spans="1:11" ht="14.25" x14ac:dyDescent="0.25">
      <c r="A14" s="78" t="s">
        <v>1</v>
      </c>
      <c r="B14" s="1" t="s">
        <v>141</v>
      </c>
      <c r="C14" t="s">
        <v>122</v>
      </c>
      <c r="D14" s="1"/>
      <c r="E14" s="1"/>
    </row>
    <row r="15" spans="1:11" ht="15.75" x14ac:dyDescent="0.3">
      <c r="A15" s="78" t="s">
        <v>9</v>
      </c>
      <c r="B15" s="2" t="s">
        <v>142</v>
      </c>
      <c r="C15" t="s">
        <v>122</v>
      </c>
      <c r="D15" s="1"/>
      <c r="E15" s="1"/>
    </row>
    <row r="16" spans="1:11" ht="15.75" x14ac:dyDescent="0.3">
      <c r="A16" s="78" t="s">
        <v>4</v>
      </c>
      <c r="B16" s="2" t="s">
        <v>143</v>
      </c>
      <c r="C16" s="55" t="s">
        <v>122</v>
      </c>
      <c r="D16" s="1"/>
      <c r="E16" s="1"/>
    </row>
    <row r="17" spans="1:5" ht="15.75" x14ac:dyDescent="0.3">
      <c r="A17" s="133" t="s">
        <v>5</v>
      </c>
      <c r="B17" s="1" t="s">
        <v>40</v>
      </c>
      <c r="C17" t="s">
        <v>122</v>
      </c>
      <c r="D17" s="1"/>
      <c r="E17" s="1"/>
    </row>
    <row r="18" spans="1:5" x14ac:dyDescent="0.2">
      <c r="A18" s="133"/>
      <c r="B18" s="3" t="s">
        <v>19</v>
      </c>
      <c r="C18" t="s">
        <v>122</v>
      </c>
      <c r="D18" s="1"/>
      <c r="E18" s="1"/>
    </row>
    <row r="19" spans="1:5" ht="15.75" x14ac:dyDescent="0.3">
      <c r="A19" s="133"/>
      <c r="B19" s="3" t="s">
        <v>144</v>
      </c>
      <c r="C19" t="s">
        <v>122</v>
      </c>
      <c r="D19" s="1"/>
      <c r="E19" s="1"/>
    </row>
    <row r="20" spans="1:5" ht="15.75" x14ac:dyDescent="0.3">
      <c r="A20" s="133"/>
      <c r="B20" s="3" t="s">
        <v>24</v>
      </c>
      <c r="C20" t="s">
        <v>122</v>
      </c>
      <c r="D20" s="1"/>
      <c r="E20" s="1"/>
    </row>
    <row r="21" spans="1:5" ht="15.75" x14ac:dyDescent="0.3">
      <c r="A21" s="133" t="s">
        <v>6</v>
      </c>
      <c r="B21" s="5" t="s">
        <v>145</v>
      </c>
      <c r="C21" t="s">
        <v>122</v>
      </c>
      <c r="D21" s="1"/>
      <c r="E21" s="1"/>
    </row>
    <row r="22" spans="1:5" ht="15.75" x14ac:dyDescent="0.3">
      <c r="A22" s="133"/>
      <c r="B22" s="4" t="s">
        <v>146</v>
      </c>
      <c r="C22" t="s">
        <v>122</v>
      </c>
      <c r="D22" s="1"/>
      <c r="E22" s="1"/>
    </row>
    <row r="23" spans="1:5" ht="15.75" x14ac:dyDescent="0.3">
      <c r="A23" s="133"/>
      <c r="B23" s="4" t="s">
        <v>147</v>
      </c>
      <c r="C23">
        <v>0</v>
      </c>
      <c r="D23" s="1"/>
      <c r="E23" s="1"/>
    </row>
    <row r="24" spans="1:5" x14ac:dyDescent="0.2">
      <c r="A24" s="77"/>
      <c r="B24" s="4"/>
      <c r="C24" s="1"/>
      <c r="D24" s="1"/>
      <c r="E24" s="1"/>
    </row>
    <row r="25" spans="1:5" x14ac:dyDescent="0.2">
      <c r="A25" s="135" t="s">
        <v>36</v>
      </c>
      <c r="B25" s="130"/>
      <c r="C25" s="130"/>
      <c r="D25" s="1"/>
      <c r="E25" s="1"/>
    </row>
    <row r="26" spans="1:5" ht="15.75" x14ac:dyDescent="0.3">
      <c r="A26" s="80" t="s">
        <v>0</v>
      </c>
      <c r="B26" s="48" t="s">
        <v>23</v>
      </c>
      <c r="C26" t="s">
        <v>209</v>
      </c>
      <c r="D26" s="1"/>
      <c r="E26" s="1"/>
    </row>
    <row r="27" spans="1:5" ht="14.25" x14ac:dyDescent="0.25">
      <c r="A27" s="80" t="s">
        <v>1</v>
      </c>
      <c r="B27" s="48" t="s">
        <v>141</v>
      </c>
      <c r="C27" t="s">
        <v>209</v>
      </c>
      <c r="D27" s="1"/>
      <c r="E27" s="1"/>
    </row>
    <row r="28" spans="1:5" ht="15.75" x14ac:dyDescent="0.3">
      <c r="A28" s="80" t="s">
        <v>9</v>
      </c>
      <c r="B28" s="48" t="s">
        <v>148</v>
      </c>
      <c r="C28" t="s">
        <v>209</v>
      </c>
      <c r="D28" s="1"/>
      <c r="E28" s="1"/>
    </row>
    <row r="29" spans="1:5" ht="15.75" x14ac:dyDescent="0.3">
      <c r="A29" s="80" t="s">
        <v>4</v>
      </c>
      <c r="B29" s="2" t="s">
        <v>149</v>
      </c>
      <c r="C29" t="s">
        <v>209</v>
      </c>
      <c r="D29" s="1"/>
      <c r="E29" s="1"/>
    </row>
    <row r="30" spans="1:5" ht="15.75" x14ac:dyDescent="0.3">
      <c r="A30" s="132" t="s">
        <v>5</v>
      </c>
      <c r="B30" s="48" t="s">
        <v>41</v>
      </c>
      <c r="C30" t="s">
        <v>209</v>
      </c>
      <c r="D30" s="1"/>
      <c r="E30" s="1"/>
    </row>
    <row r="31" spans="1:5" ht="15.75" x14ac:dyDescent="0.3">
      <c r="A31" s="114"/>
      <c r="B31" s="4" t="s">
        <v>150</v>
      </c>
      <c r="C31" t="s">
        <v>209</v>
      </c>
      <c r="D31" s="1"/>
      <c r="E31" s="1"/>
    </row>
    <row r="32" spans="1:5" ht="15.75" x14ac:dyDescent="0.3">
      <c r="A32" s="114"/>
      <c r="B32" s="3" t="s">
        <v>151</v>
      </c>
      <c r="C32" t="s">
        <v>209</v>
      </c>
      <c r="D32" s="1"/>
      <c r="E32" s="1"/>
    </row>
    <row r="33" spans="1:5" ht="15.75" x14ac:dyDescent="0.3">
      <c r="A33" s="114"/>
      <c r="B33" s="37" t="s">
        <v>130</v>
      </c>
      <c r="C33">
        <v>0</v>
      </c>
      <c r="D33" s="1"/>
      <c r="E33" s="1"/>
    </row>
    <row r="34" spans="1:5" x14ac:dyDescent="0.2">
      <c r="A34" s="77"/>
      <c r="B34" s="3"/>
      <c r="C34" s="1"/>
      <c r="D34" s="1"/>
      <c r="E34" s="1"/>
    </row>
    <row r="35" spans="1:5" x14ac:dyDescent="0.2">
      <c r="A35" s="133" t="s">
        <v>37</v>
      </c>
      <c r="B35" s="130"/>
      <c r="C35" s="130"/>
      <c r="D35" s="1"/>
      <c r="E35" s="1"/>
    </row>
    <row r="36" spans="1:5" ht="15.75" x14ac:dyDescent="0.3">
      <c r="A36" s="114" t="s">
        <v>0</v>
      </c>
      <c r="B36" s="4" t="s">
        <v>42</v>
      </c>
      <c r="C36" s="1"/>
      <c r="D36" s="1"/>
      <c r="E36" s="1"/>
    </row>
    <row r="37" spans="1:5" ht="15.75" x14ac:dyDescent="0.3">
      <c r="A37" s="114"/>
      <c r="B37" s="4" t="s">
        <v>152</v>
      </c>
      <c r="C37" s="45">
        <v>0</v>
      </c>
      <c r="D37" s="1"/>
      <c r="E37" s="1"/>
    </row>
    <row r="38" spans="1:5" ht="15.75" x14ac:dyDescent="0.3">
      <c r="A38" s="114"/>
      <c r="B38" s="4" t="s">
        <v>153</v>
      </c>
      <c r="C38">
        <v>0</v>
      </c>
      <c r="D38" s="1"/>
      <c r="E38" s="1"/>
    </row>
    <row r="39" spans="1:5" ht="15.75" x14ac:dyDescent="0.3">
      <c r="A39" s="114"/>
      <c r="B39" s="4" t="s">
        <v>154</v>
      </c>
      <c r="C39" s="45">
        <v>0</v>
      </c>
      <c r="D39" s="1"/>
      <c r="E39" s="1"/>
    </row>
    <row r="40" spans="1:5" ht="15.75" x14ac:dyDescent="0.3">
      <c r="A40" s="114"/>
      <c r="B40" s="4" t="s">
        <v>155</v>
      </c>
      <c r="C40" s="45">
        <v>0</v>
      </c>
      <c r="D40" s="1"/>
      <c r="E40" s="1"/>
    </row>
    <row r="41" spans="1:5" ht="15.75" x14ac:dyDescent="0.3">
      <c r="A41" s="114"/>
      <c r="B41" s="4" t="s">
        <v>156</v>
      </c>
      <c r="C41">
        <v>0</v>
      </c>
      <c r="D41" s="1"/>
      <c r="E41" s="1"/>
    </row>
    <row r="42" spans="1:5" ht="15.75" x14ac:dyDescent="0.3">
      <c r="A42" s="114"/>
      <c r="B42" s="4" t="s">
        <v>157</v>
      </c>
      <c r="C42">
        <v>0</v>
      </c>
      <c r="D42" s="1"/>
      <c r="E42" s="1"/>
    </row>
    <row r="43" spans="1:5" ht="15.75" x14ac:dyDescent="0.3">
      <c r="A43" s="77"/>
      <c r="B43" s="37" t="s">
        <v>131</v>
      </c>
      <c r="D43" s="1"/>
      <c r="E43" s="1"/>
    </row>
    <row r="44" spans="1:5" ht="15.75" x14ac:dyDescent="0.3">
      <c r="A44" s="114" t="s">
        <v>1</v>
      </c>
      <c r="B44" s="76" t="s">
        <v>167</v>
      </c>
      <c r="D44" s="1"/>
      <c r="E44" s="1"/>
    </row>
    <row r="45" spans="1:5" ht="15.75" x14ac:dyDescent="0.3">
      <c r="A45" s="114"/>
      <c r="B45" s="20" t="s">
        <v>165</v>
      </c>
      <c r="C45">
        <v>13.6</v>
      </c>
      <c r="D45" s="20"/>
    </row>
    <row r="46" spans="1:5" ht="15.75" x14ac:dyDescent="0.3">
      <c r="A46" s="114"/>
      <c r="B46" s="20" t="s">
        <v>166</v>
      </c>
      <c r="C46">
        <v>13.6</v>
      </c>
      <c r="D46" s="1"/>
      <c r="E46" s="1"/>
    </row>
    <row r="47" spans="1:5" ht="15.75" x14ac:dyDescent="0.3">
      <c r="A47" s="114" t="s">
        <v>9</v>
      </c>
      <c r="B47" s="5" t="s">
        <v>25</v>
      </c>
      <c r="D47" s="1"/>
      <c r="E47" s="1"/>
    </row>
    <row r="48" spans="1:5" x14ac:dyDescent="0.2">
      <c r="A48" s="114"/>
      <c r="B48" s="4" t="s">
        <v>10</v>
      </c>
      <c r="C48">
        <v>5.85</v>
      </c>
      <c r="D48" s="1"/>
      <c r="E48" s="69"/>
    </row>
    <row r="49" spans="1:5" ht="15.75" x14ac:dyDescent="0.3">
      <c r="A49" s="114"/>
      <c r="B49" s="47" t="s">
        <v>26</v>
      </c>
      <c r="C49">
        <v>1.36</v>
      </c>
      <c r="D49" s="1"/>
      <c r="E49" s="1"/>
    </row>
    <row r="50" spans="1:5" ht="15.75" x14ac:dyDescent="0.3">
      <c r="A50" s="114"/>
      <c r="B50" s="4" t="s">
        <v>27</v>
      </c>
      <c r="C50">
        <v>1</v>
      </c>
      <c r="D50" s="1"/>
    </row>
    <row r="51" spans="1:5" ht="15.75" x14ac:dyDescent="0.3">
      <c r="A51" s="114"/>
      <c r="B51" s="37" t="s">
        <v>28</v>
      </c>
      <c r="C51">
        <v>1.19</v>
      </c>
      <c r="D51" s="1"/>
      <c r="E51" s="1"/>
    </row>
    <row r="52" spans="1:5" ht="15.75" x14ac:dyDescent="0.3">
      <c r="A52" s="77" t="s">
        <v>4</v>
      </c>
      <c r="B52" s="5" t="s">
        <v>158</v>
      </c>
      <c r="C52">
        <v>1.83</v>
      </c>
      <c r="D52" s="1"/>
      <c r="E52" s="2"/>
    </row>
    <row r="53" spans="1:5" ht="15.75" x14ac:dyDescent="0.3">
      <c r="A53" s="77" t="s">
        <v>5</v>
      </c>
      <c r="B53" s="5" t="s">
        <v>29</v>
      </c>
      <c r="C53">
        <v>1</v>
      </c>
      <c r="D53" s="1"/>
      <c r="E53" s="1"/>
    </row>
    <row r="54" spans="1:5" ht="15.75" x14ac:dyDescent="0.3">
      <c r="A54" s="77" t="s">
        <v>6</v>
      </c>
      <c r="B54" s="5" t="s">
        <v>30</v>
      </c>
      <c r="C54">
        <v>1.05</v>
      </c>
      <c r="D54" s="1"/>
    </row>
    <row r="55" spans="1:5" ht="15.75" x14ac:dyDescent="0.3">
      <c r="A55" s="77" t="s">
        <v>7</v>
      </c>
      <c r="B55" s="76" t="s">
        <v>163</v>
      </c>
      <c r="C55">
        <v>2.29</v>
      </c>
      <c r="D55" s="1"/>
      <c r="E55" s="20"/>
    </row>
    <row r="56" spans="1:5" ht="15.75" x14ac:dyDescent="0.3">
      <c r="A56" s="114" t="s">
        <v>8</v>
      </c>
      <c r="B56" s="22" t="s">
        <v>31</v>
      </c>
      <c r="D56" s="1"/>
      <c r="E56" s="1"/>
    </row>
    <row r="57" spans="1:5" x14ac:dyDescent="0.2">
      <c r="A57" s="114"/>
      <c r="B57" s="119" t="s">
        <v>164</v>
      </c>
      <c r="C57" s="120">
        <v>5.95</v>
      </c>
      <c r="D57" s="1"/>
      <c r="E57" s="1"/>
    </row>
    <row r="58" spans="1:5" x14ac:dyDescent="0.2">
      <c r="A58" s="114"/>
      <c r="B58" s="134"/>
      <c r="C58" s="120"/>
      <c r="D58" s="1"/>
      <c r="E58" s="1"/>
    </row>
    <row r="59" spans="1:5" x14ac:dyDescent="0.2">
      <c r="A59" s="114"/>
      <c r="B59" s="134"/>
      <c r="C59" s="120"/>
      <c r="D59" s="1"/>
      <c r="E59" s="1"/>
    </row>
    <row r="60" spans="1:5" ht="15.75" x14ac:dyDescent="0.2">
      <c r="A60" s="114"/>
      <c r="B60" s="57" t="s">
        <v>32</v>
      </c>
      <c r="C60">
        <v>1</v>
      </c>
      <c r="D60" s="1"/>
      <c r="E60" s="1"/>
    </row>
    <row r="61" spans="1:5" ht="15.75" x14ac:dyDescent="0.3">
      <c r="A61" s="77" t="s">
        <v>3</v>
      </c>
      <c r="B61" s="22" t="s">
        <v>159</v>
      </c>
      <c r="C61" s="45">
        <v>2.2866</v>
      </c>
      <c r="D61" s="1"/>
      <c r="E61" s="1"/>
    </row>
    <row r="62" spans="1:5" x14ac:dyDescent="0.2">
      <c r="A62" s="77"/>
      <c r="B62" s="22"/>
      <c r="C62" s="1"/>
      <c r="D62" s="1"/>
      <c r="E62" s="1"/>
    </row>
    <row r="63" spans="1:5" x14ac:dyDescent="0.2">
      <c r="A63" s="130" t="s">
        <v>38</v>
      </c>
      <c r="B63" s="130"/>
      <c r="C63" s="130"/>
      <c r="D63" s="1"/>
      <c r="E63" s="1"/>
    </row>
    <row r="64" spans="1:5" ht="14.25" x14ac:dyDescent="0.2">
      <c r="A64" s="77" t="s">
        <v>0</v>
      </c>
      <c r="B64" s="22" t="s">
        <v>33</v>
      </c>
      <c r="C64">
        <v>2.29</v>
      </c>
      <c r="D64" s="1"/>
      <c r="E64" s="1"/>
    </row>
    <row r="65" spans="1:5" ht="15.75" x14ac:dyDescent="0.3">
      <c r="A65" s="114" t="s">
        <v>1</v>
      </c>
      <c r="B65" s="18" t="s">
        <v>34</v>
      </c>
      <c r="D65" s="1"/>
      <c r="E65" s="1"/>
    </row>
    <row r="66" spans="1:5" ht="15.75" x14ac:dyDescent="0.3">
      <c r="A66" s="114"/>
      <c r="B66" s="3" t="s">
        <v>160</v>
      </c>
      <c r="C66">
        <v>2.29</v>
      </c>
      <c r="E66" s="1"/>
    </row>
    <row r="67" spans="1:5" ht="15.75" x14ac:dyDescent="0.3">
      <c r="A67" s="114"/>
      <c r="B67" s="3" t="s">
        <v>161</v>
      </c>
      <c r="C67">
        <v>5.95</v>
      </c>
      <c r="D67" s="1"/>
      <c r="E67" s="1"/>
    </row>
    <row r="68" spans="1:5" ht="15.75" x14ac:dyDescent="0.3">
      <c r="A68" s="114"/>
      <c r="B68" s="3" t="s">
        <v>154</v>
      </c>
      <c r="C68">
        <v>2078.73</v>
      </c>
      <c r="D68" s="1"/>
      <c r="E68" s="1"/>
    </row>
    <row r="69" spans="1:5" ht="15.75" x14ac:dyDescent="0.3">
      <c r="A69" s="114"/>
      <c r="B69" s="3" t="s">
        <v>155</v>
      </c>
      <c r="C69">
        <v>0.97</v>
      </c>
      <c r="D69" s="1"/>
      <c r="E69" s="1"/>
    </row>
    <row r="70" spans="1:5" ht="15.75" x14ac:dyDescent="0.3">
      <c r="A70" s="114"/>
      <c r="B70" s="3" t="s">
        <v>162</v>
      </c>
      <c r="C70">
        <v>0.95</v>
      </c>
      <c r="D70" s="1"/>
      <c r="E70" s="1"/>
    </row>
    <row r="71" spans="1:5" ht="14.25" x14ac:dyDescent="0.25">
      <c r="A71" s="114"/>
      <c r="B71" s="21" t="s">
        <v>133</v>
      </c>
      <c r="C71">
        <v>3.04</v>
      </c>
      <c r="D71" s="1"/>
      <c r="E71" s="1"/>
    </row>
    <row r="72" spans="1:5" x14ac:dyDescent="0.2">
      <c r="A72" s="75"/>
      <c r="B72" s="5"/>
      <c r="D72" s="1"/>
      <c r="E72" s="1"/>
    </row>
    <row r="73" spans="1:5" x14ac:dyDescent="0.2">
      <c r="A73" s="75"/>
      <c r="B73" s="48"/>
      <c r="D73" s="1"/>
      <c r="E73" s="1"/>
    </row>
    <row r="74" spans="1:5" x14ac:dyDescent="0.2">
      <c r="A74" s="75"/>
      <c r="B74" s="4"/>
      <c r="D74" s="1"/>
      <c r="E74" s="1"/>
    </row>
    <row r="75" spans="1:5" x14ac:dyDescent="0.2">
      <c r="A75" s="75"/>
      <c r="B75" s="4"/>
      <c r="D75" s="1"/>
      <c r="E75" s="1"/>
    </row>
    <row r="76" spans="1:5" x14ac:dyDescent="0.2">
      <c r="A76" s="75"/>
      <c r="B76" s="4"/>
      <c r="D76" s="1"/>
      <c r="E76" s="1"/>
    </row>
    <row r="77" spans="1:5" x14ac:dyDescent="0.2">
      <c r="A77" s="75"/>
      <c r="B77" s="3"/>
      <c r="C77" s="45"/>
      <c r="D77" s="1"/>
      <c r="E77" s="1"/>
    </row>
    <row r="78" spans="1:5" x14ac:dyDescent="0.2">
      <c r="A78" s="75"/>
      <c r="B78" s="3"/>
      <c r="D78" s="1"/>
      <c r="E78" s="1"/>
    </row>
    <row r="79" spans="1:5" x14ac:dyDescent="0.2">
      <c r="A79" s="75"/>
      <c r="B79" s="37"/>
      <c r="D79" s="1"/>
      <c r="E79" s="1"/>
    </row>
    <row r="80" spans="1:5" x14ac:dyDescent="0.2">
      <c r="A80" s="74"/>
      <c r="B80" s="18"/>
      <c r="D80" s="1"/>
      <c r="E80" s="1"/>
    </row>
    <row r="81" spans="1:5" x14ac:dyDescent="0.2">
      <c r="A81" s="74"/>
      <c r="B81" s="18"/>
      <c r="D81" s="1"/>
      <c r="E81" s="1"/>
    </row>
    <row r="82" spans="1:5" x14ac:dyDescent="0.2">
      <c r="A82" s="74"/>
      <c r="B82" s="4"/>
      <c r="D82" s="1"/>
      <c r="E82" s="1"/>
    </row>
    <row r="83" spans="1:5" x14ac:dyDescent="0.2">
      <c r="A83" s="74"/>
      <c r="B83" s="3"/>
      <c r="D83" s="1"/>
      <c r="E83" s="1"/>
    </row>
    <row r="84" spans="1:5" x14ac:dyDescent="0.2">
      <c r="A84" s="74"/>
      <c r="B84" s="21"/>
      <c r="D84" s="1"/>
      <c r="E84" s="1"/>
    </row>
    <row r="85" spans="1:5" x14ac:dyDescent="0.2">
      <c r="A85" s="74"/>
      <c r="B85" s="3"/>
      <c r="D85" s="1"/>
      <c r="E85" s="1"/>
    </row>
    <row r="86" spans="1:5" x14ac:dyDescent="0.2">
      <c r="A86" s="74"/>
      <c r="B86" s="3"/>
      <c r="D86" s="1"/>
      <c r="E86" s="1"/>
    </row>
    <row r="87" spans="1:5" x14ac:dyDescent="0.2">
      <c r="A87" s="74"/>
      <c r="B87" s="3"/>
      <c r="D87" s="1"/>
      <c r="E87" s="1"/>
    </row>
    <row r="88" spans="1:5" x14ac:dyDescent="0.2">
      <c r="A88" s="74"/>
      <c r="B88" s="3"/>
      <c r="D88" s="1"/>
      <c r="E88" s="1"/>
    </row>
    <row r="89" spans="1:5" x14ac:dyDescent="0.2">
      <c r="A89" s="74"/>
      <c r="B89" s="3"/>
      <c r="D89" s="1"/>
      <c r="E89" s="1"/>
    </row>
    <row r="90" spans="1:5" x14ac:dyDescent="0.2">
      <c r="A90" s="74"/>
      <c r="B90" s="3"/>
      <c r="D90" s="1"/>
      <c r="E90" s="1"/>
    </row>
    <row r="91" spans="1:5" x14ac:dyDescent="0.2">
      <c r="A91" s="74"/>
      <c r="B91" s="3"/>
      <c r="D91" s="1"/>
      <c r="E91" s="1"/>
    </row>
    <row r="92" spans="1:5" x14ac:dyDescent="0.2">
      <c r="A92" s="74"/>
      <c r="B92" s="21"/>
      <c r="D92" s="1"/>
      <c r="E92" s="1"/>
    </row>
  </sheetData>
  <dataConsolidate/>
  <mergeCells count="16">
    <mergeCell ref="A25:C25"/>
    <mergeCell ref="A1:C1"/>
    <mergeCell ref="H2:K5"/>
    <mergeCell ref="A12:C12"/>
    <mergeCell ref="A17:A20"/>
    <mergeCell ref="A21:A23"/>
    <mergeCell ref="A63:C63"/>
    <mergeCell ref="A65:A71"/>
    <mergeCell ref="A30:A33"/>
    <mergeCell ref="A35:C35"/>
    <mergeCell ref="A36:A42"/>
    <mergeCell ref="A44:A46"/>
    <mergeCell ref="A47:A51"/>
    <mergeCell ref="A56:A60"/>
    <mergeCell ref="B57:B59"/>
    <mergeCell ref="C57:C59"/>
  </mergeCells>
  <pageMargins left="0.75" right="0.75" top="1" bottom="0.46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15361" r:id="rId4">
          <objectPr defaultSize="0" autoPict="0" r:id="rId5">
            <anchor moveWithCells="1" sizeWithCells="1">
              <from>
                <xdr:col>3</xdr:col>
                <xdr:colOff>0</xdr:colOff>
                <xdr:row>63</xdr:row>
                <xdr:rowOff>180975</xdr:rowOff>
              </from>
              <to>
                <xdr:col>3</xdr:col>
                <xdr:colOff>0</xdr:colOff>
                <xdr:row>65</xdr:row>
                <xdr:rowOff>47625</xdr:rowOff>
              </to>
            </anchor>
          </objectPr>
        </oleObject>
      </mc:Choice>
      <mc:Fallback>
        <oleObject progId="Equation.DSMT4" shapeId="15361" r:id="rId4"/>
      </mc:Fallback>
    </mc:AlternateContent>
    <mc:AlternateContent xmlns:mc="http://schemas.openxmlformats.org/markup-compatibility/2006">
      <mc:Choice Requires="x14">
        <oleObject progId="Equation.DSMT4" shapeId="15362" r:id="rId6">
          <objectPr defaultSize="0" autoPict="0" r:id="rId7">
            <anchor moveWithCells="1" sizeWithCells="1">
              <from>
                <xdr:col>3</xdr:col>
                <xdr:colOff>0</xdr:colOff>
                <xdr:row>63</xdr:row>
                <xdr:rowOff>180975</xdr:rowOff>
              </from>
              <to>
                <xdr:col>3</xdr:col>
                <xdr:colOff>0</xdr:colOff>
                <xdr:row>65</xdr:row>
                <xdr:rowOff>19050</xdr:rowOff>
              </to>
            </anchor>
          </objectPr>
        </oleObject>
      </mc:Choice>
      <mc:Fallback>
        <oleObject progId="Equation.DSMT4" shapeId="15362" r:id="rId6"/>
      </mc:Fallback>
    </mc:AlternateContent>
    <mc:AlternateContent xmlns:mc="http://schemas.openxmlformats.org/markup-compatibility/2006">
      <mc:Choice Requires="x14">
        <oleObject progId="Equation.DSMT4" shapeId="15363" r:id="rId8">
          <objectPr defaultSize="0" autoPict="0" r:id="rId5">
            <anchor moveWithCells="1" sizeWithCells="1">
              <from>
                <xdr:col>3</xdr:col>
                <xdr:colOff>0</xdr:colOff>
                <xdr:row>65</xdr:row>
                <xdr:rowOff>142875</xdr:rowOff>
              </from>
              <to>
                <xdr:col>3</xdr:col>
                <xdr:colOff>0</xdr:colOff>
                <xdr:row>67</xdr:row>
                <xdr:rowOff>38100</xdr:rowOff>
              </to>
            </anchor>
          </objectPr>
        </oleObject>
      </mc:Choice>
      <mc:Fallback>
        <oleObject progId="Equation.DSMT4" shapeId="15363" r:id="rId8"/>
      </mc:Fallback>
    </mc:AlternateContent>
    <mc:AlternateContent xmlns:mc="http://schemas.openxmlformats.org/markup-compatibility/2006">
      <mc:Choice Requires="x14">
        <oleObject progId="Equation.DSMT4" shapeId="15364" r:id="rId9">
          <objectPr defaultSize="0" autoPict="0" r:id="rId7">
            <anchor moveWithCells="1" sizeWithCells="1">
              <from>
                <xdr:col>3</xdr:col>
                <xdr:colOff>0</xdr:colOff>
                <xdr:row>64</xdr:row>
                <xdr:rowOff>152400</xdr:rowOff>
              </from>
              <to>
                <xdr:col>3</xdr:col>
                <xdr:colOff>0</xdr:colOff>
                <xdr:row>66</xdr:row>
                <xdr:rowOff>19050</xdr:rowOff>
              </to>
            </anchor>
          </objectPr>
        </oleObject>
      </mc:Choice>
      <mc:Fallback>
        <oleObject progId="Equation.DSMT4" shapeId="15364" r:id="rId9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K111"/>
  <sheetViews>
    <sheetView zoomScale="130" zoomScaleNormal="130" workbookViewId="0">
      <selection activeCell="C7" sqref="C7"/>
    </sheetView>
  </sheetViews>
  <sheetFormatPr defaultRowHeight="12.75" x14ac:dyDescent="0.2"/>
  <cols>
    <col min="1" max="1" width="2.42578125" style="7" bestFit="1" customWidth="1"/>
    <col min="2" max="2" width="41" bestFit="1" customWidth="1"/>
    <col min="3" max="3" width="21.140625" bestFit="1" customWidth="1"/>
    <col min="4" max="4" width="6" style="31" bestFit="1" customWidth="1"/>
    <col min="5" max="5" width="16.85546875" bestFit="1" customWidth="1"/>
    <col min="6" max="6" width="21.140625" style="31" bestFit="1" customWidth="1"/>
    <col min="7" max="7" width="16.28515625" style="31" bestFit="1" customWidth="1"/>
    <col min="8" max="9" width="21.140625" style="31" bestFit="1" customWidth="1"/>
    <col min="10" max="11" width="16.85546875" style="31" bestFit="1" customWidth="1"/>
    <col min="12" max="14" width="16.85546875" bestFit="1" customWidth="1"/>
    <col min="15" max="15" width="21.7109375" bestFit="1" customWidth="1"/>
    <col min="19" max="19" width="7.5703125" bestFit="1" customWidth="1"/>
  </cols>
  <sheetData>
    <row r="1" spans="1:11" x14ac:dyDescent="0.2">
      <c r="A1" s="130" t="s">
        <v>13</v>
      </c>
      <c r="B1" s="130"/>
      <c r="C1" s="130"/>
      <c r="D1" s="59"/>
    </row>
    <row r="2" spans="1:11" ht="12.75" customHeight="1" x14ac:dyDescent="0.3">
      <c r="A2" s="27"/>
      <c r="B2" s="1" t="s">
        <v>169</v>
      </c>
      <c r="C2" s="1">
        <v>14</v>
      </c>
      <c r="D2" s="22"/>
      <c r="E2" s="34"/>
      <c r="F2" s="61"/>
      <c r="G2" s="61"/>
      <c r="H2" s="125" t="s">
        <v>123</v>
      </c>
      <c r="I2" s="125"/>
      <c r="J2" s="125"/>
      <c r="K2" s="125"/>
    </row>
    <row r="3" spans="1:11" ht="12.75" customHeight="1" x14ac:dyDescent="0.2">
      <c r="A3" s="27"/>
      <c r="B3" s="1" t="s">
        <v>170</v>
      </c>
      <c r="C3" s="1">
        <v>62.4</v>
      </c>
      <c r="D3" s="22"/>
      <c r="E3" s="34"/>
      <c r="F3" s="61"/>
      <c r="G3" s="61"/>
      <c r="H3" s="125"/>
      <c r="I3" s="125"/>
      <c r="J3" s="125"/>
      <c r="K3" s="125"/>
    </row>
    <row r="4" spans="1:11" ht="12.75" customHeight="1" x14ac:dyDescent="0.2">
      <c r="A4" s="27"/>
      <c r="B4" s="1" t="s">
        <v>190</v>
      </c>
      <c r="C4" s="1">
        <v>1.41185E-5</v>
      </c>
      <c r="D4" s="22"/>
      <c r="E4" s="34"/>
      <c r="F4" s="61"/>
      <c r="G4" s="61"/>
      <c r="H4" s="125"/>
      <c r="I4" s="125"/>
      <c r="J4" s="125"/>
      <c r="K4" s="125"/>
    </row>
    <row r="5" spans="1:11" ht="13.5" customHeight="1" x14ac:dyDescent="0.3">
      <c r="A5" s="27"/>
      <c r="B5" s="1" t="s">
        <v>171</v>
      </c>
      <c r="C5" s="1">
        <v>0.1</v>
      </c>
      <c r="D5" s="22"/>
      <c r="E5" s="34"/>
      <c r="F5" s="61"/>
      <c r="G5" s="61"/>
      <c r="H5" s="125"/>
      <c r="I5" s="125"/>
      <c r="J5" s="125"/>
      <c r="K5" s="125"/>
    </row>
    <row r="6" spans="1:11" ht="15.75" x14ac:dyDescent="0.3">
      <c r="A6" s="27"/>
      <c r="B6" s="1" t="s">
        <v>172</v>
      </c>
      <c r="C6" s="1">
        <v>4.2999999999999997E-2</v>
      </c>
      <c r="D6" s="22"/>
    </row>
    <row r="7" spans="1:11" ht="15.75" x14ac:dyDescent="0.3">
      <c r="A7" s="27"/>
      <c r="B7" s="1" t="s">
        <v>173</v>
      </c>
      <c r="C7" s="1">
        <v>1.26</v>
      </c>
      <c r="D7" s="22"/>
    </row>
    <row r="8" spans="1:11" ht="15.75" x14ac:dyDescent="0.3">
      <c r="A8" s="27"/>
      <c r="B8" s="1" t="s">
        <v>174</v>
      </c>
      <c r="C8" s="1">
        <v>12.73</v>
      </c>
      <c r="D8" s="22"/>
    </row>
    <row r="9" spans="1:11" ht="15.75" x14ac:dyDescent="0.3">
      <c r="A9" s="27"/>
      <c r="B9" s="1" t="s">
        <v>22</v>
      </c>
      <c r="C9" s="1">
        <v>2.37</v>
      </c>
      <c r="D9" s="22"/>
    </row>
    <row r="10" spans="1:11" ht="15.75" x14ac:dyDescent="0.3">
      <c r="A10" s="27"/>
      <c r="B10" s="1" t="s">
        <v>175</v>
      </c>
      <c r="C10" s="1">
        <v>10.08</v>
      </c>
      <c r="D10" s="22"/>
    </row>
    <row r="12" spans="1:11" x14ac:dyDescent="0.2">
      <c r="A12" s="130" t="s">
        <v>14</v>
      </c>
      <c r="B12" s="130"/>
      <c r="C12" s="130"/>
      <c r="D12" s="59"/>
    </row>
    <row r="13" spans="1:11" ht="15.75" x14ac:dyDescent="0.3">
      <c r="A13" s="85" t="s">
        <v>0</v>
      </c>
      <c r="B13" s="22" t="s">
        <v>23</v>
      </c>
      <c r="C13" s="1" t="s">
        <v>122</v>
      </c>
      <c r="D13" s="22"/>
    </row>
    <row r="14" spans="1:11" ht="14.25" x14ac:dyDescent="0.25">
      <c r="A14" s="85" t="s">
        <v>1</v>
      </c>
      <c r="B14" s="22" t="s">
        <v>176</v>
      </c>
      <c r="C14" s="1" t="s">
        <v>122</v>
      </c>
      <c r="D14" s="22"/>
    </row>
    <row r="15" spans="1:11" ht="15.75" x14ac:dyDescent="0.3">
      <c r="A15" s="85" t="s">
        <v>9</v>
      </c>
      <c r="B15" s="22" t="s">
        <v>177</v>
      </c>
      <c r="C15" s="1" t="s">
        <v>122</v>
      </c>
      <c r="D15" s="22"/>
    </row>
    <row r="16" spans="1:11" ht="15.75" x14ac:dyDescent="0.3">
      <c r="A16" s="85" t="s">
        <v>4</v>
      </c>
      <c r="B16" s="22" t="s">
        <v>178</v>
      </c>
      <c r="C16" s="1" t="s">
        <v>122</v>
      </c>
      <c r="D16" s="22"/>
    </row>
    <row r="17" spans="1:9" ht="15.75" x14ac:dyDescent="0.3">
      <c r="A17" s="133" t="s">
        <v>5</v>
      </c>
      <c r="B17" s="22" t="s">
        <v>40</v>
      </c>
      <c r="C17" s="1" t="s">
        <v>122</v>
      </c>
      <c r="D17" s="22"/>
    </row>
    <row r="18" spans="1:9" x14ac:dyDescent="0.2">
      <c r="A18" s="133"/>
      <c r="B18" s="3" t="s">
        <v>19</v>
      </c>
      <c r="C18" s="1" t="s">
        <v>122</v>
      </c>
      <c r="D18" s="22"/>
    </row>
    <row r="19" spans="1:9" ht="15.75" x14ac:dyDescent="0.3">
      <c r="A19" s="133"/>
      <c r="B19" s="3" t="s">
        <v>179</v>
      </c>
      <c r="C19" s="1" t="s">
        <v>122</v>
      </c>
      <c r="D19" s="22"/>
    </row>
    <row r="20" spans="1:9" ht="15.75" x14ac:dyDescent="0.3">
      <c r="A20" s="133"/>
      <c r="B20" s="3" t="s">
        <v>24</v>
      </c>
      <c r="C20" s="1" t="s">
        <v>122</v>
      </c>
      <c r="D20" s="22"/>
    </row>
    <row r="21" spans="1:9" ht="15.75" x14ac:dyDescent="0.3">
      <c r="A21" s="133" t="s">
        <v>6</v>
      </c>
      <c r="B21" s="22" t="s">
        <v>180</v>
      </c>
      <c r="C21" s="1" t="s">
        <v>122</v>
      </c>
      <c r="D21" s="22"/>
    </row>
    <row r="22" spans="1:9" ht="15.75" x14ac:dyDescent="0.3">
      <c r="A22" s="133"/>
      <c r="B22" s="3" t="s">
        <v>181</v>
      </c>
      <c r="C22" s="1" t="s">
        <v>122</v>
      </c>
      <c r="D22" s="22"/>
    </row>
    <row r="23" spans="1:9" ht="15.75" x14ac:dyDescent="0.3">
      <c r="A23" s="133"/>
      <c r="B23" s="3" t="s">
        <v>182</v>
      </c>
      <c r="C23" s="1">
        <v>0</v>
      </c>
      <c r="D23" s="22"/>
    </row>
    <row r="24" spans="1:9" ht="15.75" x14ac:dyDescent="0.3">
      <c r="A24" s="133" t="s">
        <v>7</v>
      </c>
      <c r="B24" s="22" t="s">
        <v>44</v>
      </c>
      <c r="C24" s="1" t="s">
        <v>122</v>
      </c>
      <c r="D24" s="22"/>
    </row>
    <row r="25" spans="1:9" ht="15.75" x14ac:dyDescent="0.3">
      <c r="A25" s="133"/>
      <c r="B25" s="49" t="s">
        <v>47</v>
      </c>
      <c r="C25" s="30" t="s">
        <v>122</v>
      </c>
      <c r="D25" s="22"/>
    </row>
    <row r="26" spans="1:9" ht="15.75" x14ac:dyDescent="0.3">
      <c r="A26" s="133"/>
      <c r="B26" s="3" t="s">
        <v>184</v>
      </c>
      <c r="C26" s="1" t="s">
        <v>122</v>
      </c>
      <c r="D26" s="22"/>
      <c r="H26" s="68"/>
      <c r="I26" s="68"/>
    </row>
    <row r="27" spans="1:9" ht="15.75" x14ac:dyDescent="0.3">
      <c r="A27" s="133"/>
      <c r="B27" s="3" t="s">
        <v>185</v>
      </c>
      <c r="C27" s="1" t="s">
        <v>122</v>
      </c>
      <c r="D27" s="22"/>
    </row>
    <row r="28" spans="1:9" ht="15.75" x14ac:dyDescent="0.3">
      <c r="A28" s="133"/>
      <c r="B28" s="3" t="s">
        <v>186</v>
      </c>
      <c r="C28" s="1" t="s">
        <v>122</v>
      </c>
      <c r="D28" s="22"/>
    </row>
    <row r="29" spans="1:9" ht="15.75" x14ac:dyDescent="0.3">
      <c r="A29" s="133"/>
      <c r="B29" s="3" t="s">
        <v>187</v>
      </c>
      <c r="C29" s="1" t="s">
        <v>122</v>
      </c>
      <c r="D29" s="22"/>
    </row>
    <row r="30" spans="1:9" ht="15.75" x14ac:dyDescent="0.3">
      <c r="A30" s="133"/>
      <c r="B30" s="3" t="s">
        <v>191</v>
      </c>
      <c r="C30" s="1">
        <v>0</v>
      </c>
      <c r="D30" s="22"/>
    </row>
    <row r="31" spans="1:9" x14ac:dyDescent="0.2">
      <c r="A31" s="23"/>
      <c r="B31" s="3"/>
      <c r="C31" s="1"/>
      <c r="D31" s="22"/>
    </row>
    <row r="32" spans="1:9" x14ac:dyDescent="0.2">
      <c r="A32" s="136" t="s">
        <v>43</v>
      </c>
      <c r="B32" s="108"/>
      <c r="C32" s="108"/>
      <c r="D32" s="22"/>
    </row>
    <row r="33" spans="1:6" ht="15.75" x14ac:dyDescent="0.3">
      <c r="A33" s="86" t="s">
        <v>0</v>
      </c>
      <c r="B33" s="50" t="s">
        <v>23</v>
      </c>
      <c r="C33" s="25">
        <v>1</v>
      </c>
      <c r="D33" s="62"/>
    </row>
    <row r="34" spans="1:6" ht="14.25" x14ac:dyDescent="0.25">
      <c r="A34" s="86" t="s">
        <v>1</v>
      </c>
      <c r="B34" s="22" t="s">
        <v>176</v>
      </c>
      <c r="C34" s="1">
        <v>0.94</v>
      </c>
      <c r="D34" s="63"/>
    </row>
    <row r="35" spans="1:6" ht="15.75" x14ac:dyDescent="0.3">
      <c r="A35" s="86" t="s">
        <v>9</v>
      </c>
      <c r="B35" s="22" t="s">
        <v>183</v>
      </c>
      <c r="C35" s="1">
        <v>14</v>
      </c>
      <c r="D35" s="62"/>
    </row>
    <row r="36" spans="1:6" ht="15.75" x14ac:dyDescent="0.3">
      <c r="A36" s="115" t="s">
        <v>4</v>
      </c>
      <c r="B36" s="22" t="s">
        <v>192</v>
      </c>
      <c r="C36" s="22"/>
      <c r="D36" s="63"/>
    </row>
    <row r="37" spans="1:6" ht="15.75" x14ac:dyDescent="0.3">
      <c r="A37" s="115"/>
      <c r="B37" s="3" t="s">
        <v>193</v>
      </c>
      <c r="C37" s="1">
        <v>188.94</v>
      </c>
      <c r="D37" s="62"/>
    </row>
    <row r="38" spans="1:6" ht="15.75" x14ac:dyDescent="0.3">
      <c r="A38" s="115"/>
      <c r="B38" s="3" t="s">
        <v>194</v>
      </c>
      <c r="C38" s="1">
        <v>7.4099999999999999E-2</v>
      </c>
      <c r="D38" s="63"/>
    </row>
    <row r="39" spans="1:6" ht="15.75" x14ac:dyDescent="0.2">
      <c r="A39" s="115"/>
      <c r="B39" s="32" t="s">
        <v>184</v>
      </c>
      <c r="C39" s="29">
        <v>576036.58539999998</v>
      </c>
      <c r="D39" s="62"/>
    </row>
    <row r="40" spans="1:6" ht="15.75" x14ac:dyDescent="0.2">
      <c r="A40" s="115"/>
      <c r="B40" s="32" t="s">
        <v>185</v>
      </c>
      <c r="C40" s="29">
        <v>0.33910000000000001</v>
      </c>
      <c r="D40" s="63"/>
    </row>
    <row r="41" spans="1:6" ht="15.75" x14ac:dyDescent="0.2">
      <c r="A41" s="115"/>
      <c r="B41" s="32" t="s">
        <v>186</v>
      </c>
      <c r="C41" s="29">
        <v>0.1</v>
      </c>
      <c r="D41" s="62"/>
    </row>
    <row r="42" spans="1:6" ht="15.75" x14ac:dyDescent="0.2">
      <c r="A42" s="115"/>
      <c r="B42" s="32" t="s">
        <v>187</v>
      </c>
      <c r="C42" s="29">
        <v>0.17610000000000001</v>
      </c>
      <c r="D42" s="63"/>
    </row>
    <row r="43" spans="1:6" ht="15.75" x14ac:dyDescent="0.3">
      <c r="A43" s="115"/>
      <c r="B43" s="3" t="s">
        <v>195</v>
      </c>
      <c r="C43" s="1">
        <v>45.32</v>
      </c>
      <c r="D43" s="62"/>
    </row>
    <row r="44" spans="1:6" ht="15.75" x14ac:dyDescent="0.3">
      <c r="A44" s="115" t="s">
        <v>5</v>
      </c>
      <c r="B44" s="50" t="s">
        <v>58</v>
      </c>
      <c r="C44" s="1"/>
      <c r="D44" s="63"/>
    </row>
    <row r="45" spans="1:6" x14ac:dyDescent="0.2">
      <c r="A45" s="115"/>
      <c r="B45" s="37" t="s">
        <v>57</v>
      </c>
      <c r="C45" s="1">
        <v>1</v>
      </c>
      <c r="D45" s="62"/>
    </row>
    <row r="46" spans="1:6" ht="15.75" x14ac:dyDescent="0.3">
      <c r="A46" s="115"/>
      <c r="B46" s="37" t="s">
        <v>59</v>
      </c>
      <c r="C46" s="1">
        <v>0</v>
      </c>
      <c r="D46" s="63"/>
    </row>
    <row r="47" spans="1:6" ht="15.75" x14ac:dyDescent="0.3">
      <c r="A47" s="115"/>
      <c r="B47" s="37" t="s">
        <v>60</v>
      </c>
      <c r="C47" s="1">
        <v>0</v>
      </c>
      <c r="D47" s="62"/>
    </row>
    <row r="48" spans="1:6" ht="15.75" x14ac:dyDescent="0.3">
      <c r="A48" s="115" t="s">
        <v>6</v>
      </c>
      <c r="B48" s="22" t="s">
        <v>61</v>
      </c>
      <c r="C48" s="1"/>
      <c r="D48" s="63"/>
      <c r="F48" s="31" t="s">
        <v>35</v>
      </c>
    </row>
    <row r="49" spans="1:6" ht="15.75" x14ac:dyDescent="0.3">
      <c r="A49" s="115"/>
      <c r="B49" s="3" t="s">
        <v>196</v>
      </c>
      <c r="C49" s="1">
        <v>0.71</v>
      </c>
      <c r="D49" s="62"/>
      <c r="F49" s="31">
        <v>0.71</v>
      </c>
    </row>
    <row r="50" spans="1:6" ht="15.75" x14ac:dyDescent="0.3">
      <c r="A50" s="115"/>
      <c r="B50" s="3" t="s">
        <v>197</v>
      </c>
      <c r="C50" s="1">
        <v>0</v>
      </c>
      <c r="D50" s="63"/>
      <c r="F50" s="31">
        <v>0</v>
      </c>
    </row>
    <row r="51" spans="1:6" ht="15.75" x14ac:dyDescent="0.3">
      <c r="A51" s="115"/>
      <c r="B51" s="3" t="s">
        <v>198</v>
      </c>
      <c r="C51" s="1">
        <v>50.126899999999999</v>
      </c>
      <c r="D51" s="62"/>
      <c r="F51" s="31">
        <v>50.126899999999999</v>
      </c>
    </row>
    <row r="52" spans="1:6" ht="15.75" x14ac:dyDescent="0.3">
      <c r="A52" s="115" t="s">
        <v>7</v>
      </c>
      <c r="B52" s="3" t="s">
        <v>199</v>
      </c>
      <c r="C52" s="1"/>
      <c r="D52" s="63"/>
    </row>
    <row r="53" spans="1:6" ht="15.75" x14ac:dyDescent="0.3">
      <c r="A53" s="115"/>
      <c r="B53" s="3" t="s">
        <v>65</v>
      </c>
      <c r="C53" s="1">
        <v>50.126899999999999</v>
      </c>
      <c r="D53" s="62"/>
      <c r="F53" s="31">
        <v>50.126899999999999</v>
      </c>
    </row>
    <row r="54" spans="1:6" ht="15.75" x14ac:dyDescent="0.3">
      <c r="A54" s="115"/>
      <c r="B54" s="26" t="s">
        <v>200</v>
      </c>
      <c r="C54" s="1">
        <v>152825.91459999999</v>
      </c>
      <c r="D54" s="63"/>
      <c r="F54" s="31">
        <v>152825.91459999999</v>
      </c>
    </row>
    <row r="55" spans="1:6" ht="15.75" x14ac:dyDescent="0.3">
      <c r="A55" s="115"/>
      <c r="B55" s="3" t="s">
        <v>201</v>
      </c>
      <c r="C55" s="1">
        <v>0.27929999999999999</v>
      </c>
      <c r="D55" s="62"/>
      <c r="F55" s="31">
        <v>0.27929999999999999</v>
      </c>
    </row>
    <row r="56" spans="1:6" ht="15.75" x14ac:dyDescent="0.3">
      <c r="A56" s="115"/>
      <c r="B56" s="3" t="s">
        <v>202</v>
      </c>
      <c r="C56" s="1">
        <v>0.5373</v>
      </c>
      <c r="D56" s="63"/>
      <c r="F56" s="31">
        <v>0.5373</v>
      </c>
    </row>
    <row r="57" spans="1:6" ht="15.75" x14ac:dyDescent="0.3">
      <c r="A57" s="137"/>
      <c r="B57" s="3" t="s">
        <v>186</v>
      </c>
      <c r="C57" s="1">
        <v>0.1</v>
      </c>
      <c r="D57" s="62"/>
      <c r="F57" s="31">
        <v>0.1</v>
      </c>
    </row>
    <row r="58" spans="1:6" ht="15.75" x14ac:dyDescent="0.3">
      <c r="A58" s="137"/>
      <c r="B58" s="3" t="s">
        <v>203</v>
      </c>
      <c r="C58" s="1">
        <v>0.22969999999999999</v>
      </c>
      <c r="D58" s="63"/>
      <c r="F58" s="31">
        <v>0.22969999999999999</v>
      </c>
    </row>
    <row r="59" spans="1:6" ht="15.75" x14ac:dyDescent="0.3">
      <c r="A59" s="137"/>
      <c r="B59" s="3" t="s">
        <v>204</v>
      </c>
      <c r="C59" s="1">
        <v>22.107600000000001</v>
      </c>
      <c r="D59" s="62"/>
      <c r="F59" s="31">
        <v>22.107600000000001</v>
      </c>
    </row>
    <row r="60" spans="1:6" x14ac:dyDescent="0.2">
      <c r="A60" s="115" t="s">
        <v>8</v>
      </c>
      <c r="B60" s="50" t="s">
        <v>64</v>
      </c>
      <c r="C60" s="1"/>
      <c r="D60" s="63"/>
    </row>
    <row r="61" spans="1:6" ht="15.75" x14ac:dyDescent="0.3">
      <c r="A61" s="115"/>
      <c r="B61" s="37" t="s">
        <v>63</v>
      </c>
      <c r="C61" s="1" t="s">
        <v>124</v>
      </c>
      <c r="D61" s="62"/>
      <c r="F61" s="31" t="s">
        <v>124</v>
      </c>
    </row>
    <row r="62" spans="1:6" ht="15.75" x14ac:dyDescent="0.3">
      <c r="A62" s="115"/>
      <c r="B62" s="37" t="s">
        <v>62</v>
      </c>
      <c r="C62" s="1" t="s">
        <v>66</v>
      </c>
      <c r="D62" s="63"/>
      <c r="F62" s="31" t="s">
        <v>66</v>
      </c>
    </row>
    <row r="63" spans="1:6" ht="28.5" x14ac:dyDescent="0.3">
      <c r="A63" s="115" t="s">
        <v>3</v>
      </c>
      <c r="B63" s="51" t="s">
        <v>205</v>
      </c>
      <c r="C63" s="1" t="s">
        <v>125</v>
      </c>
      <c r="D63" s="62"/>
      <c r="F63" s="31" t="s">
        <v>125</v>
      </c>
    </row>
    <row r="64" spans="1:6" x14ac:dyDescent="0.2">
      <c r="A64" s="115"/>
      <c r="B64" s="58" t="s">
        <v>57</v>
      </c>
      <c r="C64" s="29">
        <v>1</v>
      </c>
      <c r="D64" s="63"/>
      <c r="F64" s="31">
        <v>1</v>
      </c>
    </row>
    <row r="65" spans="1:4" x14ac:dyDescent="0.2">
      <c r="A65" s="115" t="s">
        <v>15</v>
      </c>
      <c r="B65" s="29" t="s">
        <v>11</v>
      </c>
      <c r="C65" s="29"/>
      <c r="D65" s="62"/>
    </row>
    <row r="66" spans="1:4" ht="15.75" x14ac:dyDescent="0.3">
      <c r="A66" s="115"/>
      <c r="B66" s="3" t="s">
        <v>206</v>
      </c>
      <c r="C66" s="1">
        <v>50.126899999999999</v>
      </c>
      <c r="D66" s="63"/>
    </row>
    <row r="67" spans="1:4" ht="15.75" x14ac:dyDescent="0.3">
      <c r="A67" s="115"/>
      <c r="B67" s="3" t="s">
        <v>207</v>
      </c>
      <c r="C67" s="1">
        <v>50.126899999999999</v>
      </c>
      <c r="D67" s="62"/>
    </row>
    <row r="68" spans="1:4" ht="15.75" x14ac:dyDescent="0.3">
      <c r="A68" s="115"/>
      <c r="B68" s="3" t="s">
        <v>208</v>
      </c>
      <c r="C68" s="1">
        <v>22.107600000000001</v>
      </c>
      <c r="D68" s="63"/>
    </row>
    <row r="69" spans="1:4" x14ac:dyDescent="0.2">
      <c r="A69" s="83" t="s">
        <v>16</v>
      </c>
      <c r="B69" s="22" t="s">
        <v>12</v>
      </c>
      <c r="C69" s="28" t="s">
        <v>126</v>
      </c>
      <c r="D69" s="62"/>
    </row>
    <row r="70" spans="1:4" x14ac:dyDescent="0.2">
      <c r="A70" s="82"/>
      <c r="B70" s="3"/>
      <c r="C70" s="1"/>
      <c r="D70" s="5"/>
    </row>
    <row r="71" spans="1:4" x14ac:dyDescent="0.2">
      <c r="A71" s="133" t="s">
        <v>127</v>
      </c>
      <c r="B71" s="108"/>
      <c r="C71" s="108"/>
      <c r="D71" s="22"/>
    </row>
    <row r="72" spans="1:4" x14ac:dyDescent="0.2">
      <c r="A72" s="133" t="s">
        <v>0</v>
      </c>
      <c r="B72" s="30" t="s">
        <v>132</v>
      </c>
      <c r="C72" s="30"/>
      <c r="D72" s="22"/>
    </row>
    <row r="73" spans="1:4" ht="15" customHeight="1" x14ac:dyDescent="0.2">
      <c r="A73" s="133"/>
      <c r="B73" s="21"/>
      <c r="C73" s="1">
        <v>22.11</v>
      </c>
      <c r="D73" s="22"/>
    </row>
    <row r="74" spans="1:4" ht="16.5" customHeight="1" x14ac:dyDescent="0.2">
      <c r="A74" s="133"/>
      <c r="B74" s="22"/>
      <c r="C74" s="1">
        <v>36.11</v>
      </c>
      <c r="D74" s="22"/>
    </row>
    <row r="75" spans="1:4" ht="15.75" x14ac:dyDescent="0.3">
      <c r="A75" s="133" t="s">
        <v>1</v>
      </c>
      <c r="B75" s="51" t="s">
        <v>25</v>
      </c>
      <c r="C75" s="1"/>
      <c r="D75" s="5"/>
    </row>
    <row r="76" spans="1:4" x14ac:dyDescent="0.2">
      <c r="A76" s="133"/>
      <c r="B76" s="26" t="s">
        <v>10</v>
      </c>
      <c r="C76" s="1">
        <v>3</v>
      </c>
      <c r="D76" s="22"/>
    </row>
    <row r="77" spans="1:4" ht="15.75" x14ac:dyDescent="0.3">
      <c r="A77" s="133"/>
      <c r="B77" s="3" t="s">
        <v>26</v>
      </c>
      <c r="C77" s="1">
        <v>1</v>
      </c>
      <c r="D77" s="22"/>
    </row>
    <row r="78" spans="1:4" ht="15.75" x14ac:dyDescent="0.3">
      <c r="A78" s="133"/>
      <c r="B78" s="3" t="s">
        <v>27</v>
      </c>
      <c r="C78" s="28">
        <v>0.91</v>
      </c>
      <c r="D78" s="22"/>
    </row>
    <row r="79" spans="1:4" ht="15.75" x14ac:dyDescent="0.3">
      <c r="A79" s="133"/>
      <c r="B79" s="14" t="s">
        <v>28</v>
      </c>
      <c r="C79">
        <v>0.93</v>
      </c>
    </row>
    <row r="80" spans="1:4" ht="15.75" x14ac:dyDescent="0.2">
      <c r="A80" s="84" t="s">
        <v>9</v>
      </c>
      <c r="B80" s="33" t="s">
        <v>117</v>
      </c>
      <c r="C80" s="33">
        <v>79</v>
      </c>
      <c r="D80" s="60"/>
    </row>
    <row r="81" spans="1:4" ht="15.75" x14ac:dyDescent="0.2">
      <c r="A81" s="84" t="s">
        <v>4</v>
      </c>
      <c r="B81" s="52" t="s">
        <v>29</v>
      </c>
      <c r="C81" s="52">
        <v>0.39</v>
      </c>
      <c r="D81" s="22"/>
    </row>
    <row r="82" spans="1:4" ht="15.75" x14ac:dyDescent="0.2">
      <c r="A82" s="81" t="s">
        <v>5</v>
      </c>
      <c r="B82" s="87" t="s">
        <v>30</v>
      </c>
      <c r="C82" s="29">
        <v>1</v>
      </c>
      <c r="D82" s="22"/>
    </row>
    <row r="83" spans="1:4" x14ac:dyDescent="0.2">
      <c r="A83" s="84" t="s">
        <v>6</v>
      </c>
      <c r="B83" s="29" t="s">
        <v>20</v>
      </c>
      <c r="C83" s="29">
        <v>28.65</v>
      </c>
      <c r="D83" s="50"/>
    </row>
    <row r="84" spans="1:4" ht="15.75" x14ac:dyDescent="0.2">
      <c r="A84" s="84" t="s">
        <v>7</v>
      </c>
      <c r="B84" s="87" t="s">
        <v>31</v>
      </c>
      <c r="C84" s="29">
        <v>0.97</v>
      </c>
      <c r="D84" s="22"/>
    </row>
    <row r="85" spans="1:4" ht="15.75" x14ac:dyDescent="0.2">
      <c r="A85" s="84" t="s">
        <v>8</v>
      </c>
      <c r="B85" s="87" t="s">
        <v>188</v>
      </c>
      <c r="C85" s="29">
        <v>27.793700000000001</v>
      </c>
      <c r="D85" s="22"/>
    </row>
    <row r="86" spans="1:4" x14ac:dyDescent="0.2">
      <c r="A86" s="46"/>
      <c r="B86" s="23"/>
      <c r="C86" s="23"/>
      <c r="D86" s="50"/>
    </row>
    <row r="87" spans="1:4" x14ac:dyDescent="0.2">
      <c r="A87" s="116" t="s">
        <v>128</v>
      </c>
      <c r="B87" s="136"/>
      <c r="C87" s="136"/>
      <c r="D87" s="22"/>
    </row>
    <row r="88" spans="1:4" ht="14.25" x14ac:dyDescent="0.2">
      <c r="A88" s="85" t="s">
        <v>0</v>
      </c>
      <c r="B88" s="52" t="s">
        <v>33</v>
      </c>
      <c r="C88" s="73">
        <v>85.712699999999998</v>
      </c>
      <c r="D88" s="22"/>
    </row>
    <row r="89" spans="1:4" ht="15.75" x14ac:dyDescent="0.2">
      <c r="A89" s="136" t="s">
        <v>1</v>
      </c>
      <c r="B89" s="87" t="s">
        <v>34</v>
      </c>
      <c r="C89" s="29"/>
      <c r="D89" s="50"/>
    </row>
    <row r="90" spans="1:4" ht="15.75" x14ac:dyDescent="0.3">
      <c r="A90" s="136"/>
      <c r="B90" s="3" t="s">
        <v>189</v>
      </c>
      <c r="C90" s="1">
        <v>0.1633</v>
      </c>
      <c r="D90" s="22"/>
    </row>
    <row r="91" spans="1:4" ht="15.75" x14ac:dyDescent="0.3">
      <c r="A91" s="136"/>
      <c r="B91" s="3" t="s">
        <v>184</v>
      </c>
      <c r="C91" s="1">
        <v>261319.08540000001</v>
      </c>
      <c r="D91" s="22"/>
    </row>
    <row r="92" spans="1:4" ht="15.75" x14ac:dyDescent="0.3">
      <c r="A92" s="136"/>
      <c r="B92" s="3" t="s">
        <v>185</v>
      </c>
      <c r="C92" s="1">
        <v>0.44979999999999998</v>
      </c>
      <c r="D92" s="50"/>
    </row>
    <row r="93" spans="1:4" ht="15.75" x14ac:dyDescent="0.3">
      <c r="A93" s="136"/>
      <c r="B93" s="3" t="s">
        <v>186</v>
      </c>
      <c r="C93" s="1">
        <v>0.1</v>
      </c>
      <c r="D93" s="22"/>
    </row>
    <row r="94" spans="1:4" ht="15.75" x14ac:dyDescent="0.3">
      <c r="A94" s="136"/>
      <c r="B94" s="3" t="s">
        <v>187</v>
      </c>
      <c r="C94" s="1">
        <v>0.20630000000000001</v>
      </c>
      <c r="D94" s="22"/>
    </row>
    <row r="95" spans="1:4" ht="14.25" x14ac:dyDescent="0.25">
      <c r="A95" s="136"/>
      <c r="B95" s="21" t="s">
        <v>133</v>
      </c>
      <c r="C95" s="64">
        <v>29.733799999999999</v>
      </c>
      <c r="D95" s="50"/>
    </row>
    <row r="96" spans="1:4" x14ac:dyDescent="0.2">
      <c r="A96" s="83"/>
      <c r="B96" s="49"/>
      <c r="C96" s="30"/>
      <c r="D96" s="22"/>
    </row>
    <row r="97" spans="1:4" x14ac:dyDescent="0.2">
      <c r="A97" s="11"/>
      <c r="B97" s="3"/>
      <c r="C97" s="56"/>
      <c r="D97" s="22"/>
    </row>
    <row r="98" spans="1:4" x14ac:dyDescent="0.2">
      <c r="A98" s="19"/>
      <c r="B98" s="1"/>
      <c r="C98" s="1"/>
      <c r="D98" s="50"/>
    </row>
    <row r="99" spans="1:4" x14ac:dyDescent="0.2">
      <c r="A99" s="19"/>
      <c r="B99" s="3"/>
      <c r="C99" s="1"/>
      <c r="D99" s="22"/>
    </row>
    <row r="100" spans="1:4" x14ac:dyDescent="0.2">
      <c r="A100" s="19"/>
      <c r="B100" s="3"/>
      <c r="C100" s="1"/>
      <c r="D100" s="22"/>
    </row>
    <row r="101" spans="1:4" x14ac:dyDescent="0.2">
      <c r="A101" s="19"/>
      <c r="B101" s="3"/>
      <c r="C101" s="1"/>
      <c r="D101" s="50"/>
    </row>
    <row r="102" spans="1:4" x14ac:dyDescent="0.2">
      <c r="A102" s="19"/>
      <c r="B102" s="3"/>
      <c r="C102" s="1"/>
      <c r="D102" s="22"/>
    </row>
    <row r="103" spans="1:4" x14ac:dyDescent="0.2">
      <c r="A103" s="19"/>
      <c r="B103" s="3"/>
      <c r="C103" s="1"/>
      <c r="D103" s="22"/>
    </row>
    <row r="104" spans="1:4" x14ac:dyDescent="0.2">
      <c r="A104" s="19"/>
      <c r="B104" s="3"/>
      <c r="C104" s="1"/>
      <c r="D104" s="50"/>
    </row>
    <row r="105" spans="1:4" x14ac:dyDescent="0.2">
      <c r="A105" s="11"/>
      <c r="B105" s="3"/>
      <c r="C105" s="1"/>
      <c r="D105" s="22"/>
    </row>
    <row r="106" spans="1:4" x14ac:dyDescent="0.2">
      <c r="A106" s="11"/>
      <c r="B106" s="1"/>
      <c r="C106" s="1"/>
      <c r="D106" s="22"/>
    </row>
    <row r="107" spans="1:4" x14ac:dyDescent="0.2">
      <c r="A107" s="11"/>
      <c r="B107" s="1"/>
      <c r="C107" s="1"/>
      <c r="D107" s="22"/>
    </row>
    <row r="108" spans="1:4" x14ac:dyDescent="0.2">
      <c r="A108" s="11"/>
      <c r="B108" s="1"/>
      <c r="C108" s="1"/>
      <c r="D108" s="22"/>
    </row>
    <row r="109" spans="1:4" x14ac:dyDescent="0.2">
      <c r="A109" s="11"/>
      <c r="B109" s="1"/>
      <c r="C109" s="1"/>
      <c r="D109" s="22"/>
    </row>
    <row r="110" spans="1:4" x14ac:dyDescent="0.2">
      <c r="A110" s="11"/>
      <c r="B110" s="1"/>
      <c r="C110" s="1"/>
      <c r="D110" s="22"/>
    </row>
    <row r="111" spans="1:4" x14ac:dyDescent="0.2">
      <c r="A111" s="27"/>
      <c r="B111" s="1"/>
      <c r="C111" s="1"/>
      <c r="D111" s="22"/>
    </row>
  </sheetData>
  <scenarios current="0">
    <scenario name="1" count="1" user="Tom Glasser" comment="Created by Tom Glasser on 1/26/2005">
      <inputCells r="C28" undone="1" val="0.1000001" numFmtId="2"/>
    </scenario>
  </scenarios>
  <dataConsolidate/>
  <mergeCells count="19">
    <mergeCell ref="A1:C1"/>
    <mergeCell ref="A12:C12"/>
    <mergeCell ref="A21:A23"/>
    <mergeCell ref="A17:A20"/>
    <mergeCell ref="A24:A30"/>
    <mergeCell ref="A32:C32"/>
    <mergeCell ref="H2:K5"/>
    <mergeCell ref="A36:A43"/>
    <mergeCell ref="A89:A95"/>
    <mergeCell ref="A87:C87"/>
    <mergeCell ref="A44:A47"/>
    <mergeCell ref="A52:A59"/>
    <mergeCell ref="A60:A62"/>
    <mergeCell ref="A65:A68"/>
    <mergeCell ref="A71:C71"/>
    <mergeCell ref="A72:A74"/>
    <mergeCell ref="A48:A51"/>
    <mergeCell ref="A63:A64"/>
    <mergeCell ref="A75:A79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11266" r:id="rId4">
          <objectPr defaultSize="0" autoPict="0" r:id="rId5">
            <anchor moveWithCells="1" sizeWithCells="1">
              <from>
                <xdr:col>2</xdr:col>
                <xdr:colOff>123825</xdr:colOff>
                <xdr:row>0</xdr:row>
                <xdr:rowOff>0</xdr:rowOff>
              </from>
              <to>
                <xdr:col>2</xdr:col>
                <xdr:colOff>257175</xdr:colOff>
                <xdr:row>0</xdr:row>
                <xdr:rowOff>0</xdr:rowOff>
              </to>
            </anchor>
          </objectPr>
        </oleObject>
      </mc:Choice>
      <mc:Fallback>
        <oleObject progId="Equation.DSMT4" shapeId="11266" r:id="rId4"/>
      </mc:Fallback>
    </mc:AlternateContent>
    <mc:AlternateContent xmlns:mc="http://schemas.openxmlformats.org/markup-compatibility/2006">
      <mc:Choice Requires="x14">
        <oleObject progId="Equation.DSMT4" shapeId="11289" r:id="rId6">
          <objectPr defaultSize="0" autoPict="0" r:id="rId7">
            <anchor moveWithCells="1" sizeWithCells="1">
              <from>
                <xdr:col>1</xdr:col>
                <xdr:colOff>581025</xdr:colOff>
                <xdr:row>70</xdr:row>
                <xdr:rowOff>142875</xdr:rowOff>
              </from>
              <to>
                <xdr:col>1</xdr:col>
                <xdr:colOff>790575</xdr:colOff>
                <xdr:row>72</xdr:row>
                <xdr:rowOff>28575</xdr:rowOff>
              </to>
            </anchor>
          </objectPr>
        </oleObject>
      </mc:Choice>
      <mc:Fallback>
        <oleObject progId="Equation.DSMT4" shapeId="11289" r:id="rId6"/>
      </mc:Fallback>
    </mc:AlternateContent>
    <mc:AlternateContent xmlns:mc="http://schemas.openxmlformats.org/markup-compatibility/2006">
      <mc:Choice Requires="x14">
        <oleObject progId="Equation.DSMT4" shapeId="11290" r:id="rId8">
          <objectPr defaultSize="0" autoPict="0" r:id="rId9">
            <anchor moveWithCells="1" sizeWithCells="1">
              <from>
                <xdr:col>1</xdr:col>
                <xdr:colOff>200025</xdr:colOff>
                <xdr:row>72</xdr:row>
                <xdr:rowOff>142875</xdr:rowOff>
              </from>
              <to>
                <xdr:col>1</xdr:col>
                <xdr:colOff>400050</xdr:colOff>
                <xdr:row>73</xdr:row>
                <xdr:rowOff>180975</xdr:rowOff>
              </to>
            </anchor>
          </objectPr>
        </oleObject>
      </mc:Choice>
      <mc:Fallback>
        <oleObject progId="Equation.DSMT4" shapeId="11290" r:id="rId8"/>
      </mc:Fallback>
    </mc:AlternateContent>
    <mc:AlternateContent xmlns:mc="http://schemas.openxmlformats.org/markup-compatibility/2006">
      <mc:Choice Requires="x14">
        <oleObject progId="Equation.DSMT4" shapeId="11291" r:id="rId10">
          <objectPr defaultSize="0" autoPict="0" r:id="rId9">
            <anchor moveWithCells="1" sizeWithCells="1">
              <from>
                <xdr:col>1</xdr:col>
                <xdr:colOff>1143000</xdr:colOff>
                <xdr:row>70</xdr:row>
                <xdr:rowOff>152400</xdr:rowOff>
              </from>
              <to>
                <xdr:col>1</xdr:col>
                <xdr:colOff>1304925</xdr:colOff>
                <xdr:row>72</xdr:row>
                <xdr:rowOff>38100</xdr:rowOff>
              </to>
            </anchor>
          </objectPr>
        </oleObject>
      </mc:Choice>
      <mc:Fallback>
        <oleObject progId="Equation.DSMT4" shapeId="11291" r:id="rId10"/>
      </mc:Fallback>
    </mc:AlternateContent>
    <mc:AlternateContent xmlns:mc="http://schemas.openxmlformats.org/markup-compatibility/2006">
      <mc:Choice Requires="x14">
        <oleObject progId="Equation.DSMT4" shapeId="11292" r:id="rId11">
          <objectPr defaultSize="0" autoPict="0" r:id="rId7">
            <anchor moveWithCells="1" sizeWithCells="1">
              <from>
                <xdr:col>1</xdr:col>
                <xdr:colOff>200025</xdr:colOff>
                <xdr:row>71</xdr:row>
                <xdr:rowOff>133350</xdr:rowOff>
              </from>
              <to>
                <xdr:col>1</xdr:col>
                <xdr:colOff>381000</xdr:colOff>
                <xdr:row>73</xdr:row>
                <xdr:rowOff>9525</xdr:rowOff>
              </to>
            </anchor>
          </objectPr>
        </oleObject>
      </mc:Choice>
      <mc:Fallback>
        <oleObject progId="Equation.DSMT4" shapeId="11292" r:id="rId11"/>
      </mc:Fallback>
    </mc:AlternateContent>
    <mc:AlternateContent xmlns:mc="http://schemas.openxmlformats.org/markup-compatibility/2006">
      <mc:Choice Requires="x14">
        <oleObject progId="Equation.DSMT4" shapeId="11294" r:id="rId12">
          <objectPr defaultSize="0" autoPict="0" r:id="rId13">
            <anchor moveWithCells="1" sizeWithCells="1">
              <from>
                <xdr:col>1</xdr:col>
                <xdr:colOff>685800</xdr:colOff>
                <xdr:row>82</xdr:row>
                <xdr:rowOff>0</xdr:rowOff>
              </from>
              <to>
                <xdr:col>1</xdr:col>
                <xdr:colOff>1028700</xdr:colOff>
                <xdr:row>83</xdr:row>
                <xdr:rowOff>9525</xdr:rowOff>
              </to>
            </anchor>
          </objectPr>
        </oleObject>
      </mc:Choice>
      <mc:Fallback>
        <oleObject progId="Equation.DSMT4" shapeId="11294" r:id="rId12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125"/>
  <sheetViews>
    <sheetView zoomScale="115" zoomScaleNormal="115" workbookViewId="0">
      <selection activeCell="F17" sqref="F17"/>
    </sheetView>
  </sheetViews>
  <sheetFormatPr defaultRowHeight="12.75" x14ac:dyDescent="0.2"/>
  <cols>
    <col min="1" max="1" width="2.42578125" bestFit="1" customWidth="1"/>
    <col min="2" max="2" width="41" bestFit="1" customWidth="1"/>
    <col min="3" max="3" width="21.7109375" bestFit="1" customWidth="1"/>
    <col min="4" max="4" width="3" bestFit="1" customWidth="1"/>
    <col min="5" max="5" width="16.7109375" bestFit="1" customWidth="1"/>
    <col min="6" max="6" width="21.140625" bestFit="1" customWidth="1"/>
    <col min="7" max="8" width="16.28515625" bestFit="1" customWidth="1"/>
    <col min="9" max="9" width="21.140625" bestFit="1" customWidth="1"/>
    <col min="10" max="11" width="16.7109375" bestFit="1" customWidth="1"/>
    <col min="12" max="12" width="22.140625" bestFit="1" customWidth="1"/>
  </cols>
  <sheetData>
    <row r="1" spans="1:12" ht="13.5" thickBot="1" x14ac:dyDescent="0.25">
      <c r="A1" s="108" t="s">
        <v>13</v>
      </c>
      <c r="B1" s="108"/>
      <c r="C1" s="108"/>
      <c r="D1" s="9"/>
    </row>
    <row r="2" spans="1:12" ht="15.75" customHeight="1" x14ac:dyDescent="0.3">
      <c r="B2" t="s">
        <v>73</v>
      </c>
      <c r="C2">
        <v>1.6</v>
      </c>
      <c r="G2" s="1"/>
      <c r="H2" s="121" t="s">
        <v>56</v>
      </c>
      <c r="I2" s="122"/>
      <c r="J2" s="122"/>
      <c r="K2" s="123"/>
      <c r="L2" s="13"/>
    </row>
    <row r="3" spans="1:12" ht="14.25" customHeight="1" x14ac:dyDescent="0.2">
      <c r="B3" t="s">
        <v>74</v>
      </c>
      <c r="C3">
        <v>62.33</v>
      </c>
      <c r="G3" s="1"/>
      <c r="H3" s="124"/>
      <c r="I3" s="125"/>
      <c r="J3" s="125"/>
      <c r="K3" s="126"/>
      <c r="L3" s="13"/>
    </row>
    <row r="4" spans="1:12" ht="14.25" customHeight="1" x14ac:dyDescent="0.2">
      <c r="B4" t="s">
        <v>75</v>
      </c>
      <c r="C4">
        <v>1.12418E-5</v>
      </c>
      <c r="G4" s="1"/>
      <c r="H4" s="124"/>
      <c r="I4" s="125"/>
      <c r="J4" s="125"/>
      <c r="K4" s="126"/>
      <c r="L4" s="13"/>
    </row>
    <row r="5" spans="1:12" ht="15.75" customHeight="1" thickBot="1" x14ac:dyDescent="0.35">
      <c r="B5" t="s">
        <v>72</v>
      </c>
      <c r="C5">
        <v>0.6</v>
      </c>
      <c r="G5" s="1"/>
      <c r="H5" s="127"/>
      <c r="I5" s="128"/>
      <c r="J5" s="128"/>
      <c r="K5" s="129"/>
      <c r="L5" s="13"/>
    </row>
    <row r="6" spans="1:12" ht="15.75" x14ac:dyDescent="0.3">
      <c r="B6" t="s">
        <v>76</v>
      </c>
      <c r="C6">
        <v>5.6000000000000001E-2</v>
      </c>
    </row>
    <row r="7" spans="1:12" ht="15.75" x14ac:dyDescent="0.3">
      <c r="B7" t="s">
        <v>77</v>
      </c>
      <c r="C7">
        <v>1.06</v>
      </c>
    </row>
    <row r="8" spans="1:12" ht="15.75" x14ac:dyDescent="0.3">
      <c r="B8" t="s">
        <v>78</v>
      </c>
      <c r="C8">
        <v>5.28</v>
      </c>
    </row>
    <row r="9" spans="1:12" ht="15.75" x14ac:dyDescent="0.3">
      <c r="B9" t="s">
        <v>22</v>
      </c>
      <c r="C9">
        <v>0.74</v>
      </c>
    </row>
    <row r="10" spans="1:12" ht="15.75" x14ac:dyDescent="0.3">
      <c r="B10" t="s">
        <v>79</v>
      </c>
      <c r="C10">
        <v>5</v>
      </c>
    </row>
    <row r="12" spans="1:12" x14ac:dyDescent="0.2">
      <c r="A12" s="108" t="s">
        <v>48</v>
      </c>
      <c r="B12" s="108"/>
      <c r="C12" s="108"/>
      <c r="D12" s="9"/>
    </row>
    <row r="13" spans="1:12" ht="15.75" x14ac:dyDescent="0.3">
      <c r="A13" s="71" t="s">
        <v>0</v>
      </c>
      <c r="B13" s="30" t="s">
        <v>23</v>
      </c>
      <c r="C13" s="30">
        <v>1</v>
      </c>
      <c r="D13" s="30"/>
    </row>
    <row r="14" spans="1:12" ht="14.25" x14ac:dyDescent="0.25">
      <c r="A14" s="71" t="s">
        <v>1</v>
      </c>
      <c r="B14" t="s">
        <v>80</v>
      </c>
      <c r="C14">
        <v>1</v>
      </c>
    </row>
    <row r="15" spans="1:12" ht="15.75" x14ac:dyDescent="0.3">
      <c r="A15" s="136" t="s">
        <v>9</v>
      </c>
      <c r="B15" t="s">
        <v>81</v>
      </c>
    </row>
    <row r="16" spans="1:12" ht="15.75" x14ac:dyDescent="0.3">
      <c r="A16" s="136"/>
      <c r="B16" s="14" t="s">
        <v>82</v>
      </c>
      <c r="C16">
        <v>17</v>
      </c>
      <c r="D16" s="30"/>
    </row>
    <row r="17" spans="1:4" ht="15.75" x14ac:dyDescent="0.3">
      <c r="A17" s="136"/>
      <c r="B17" s="14" t="s">
        <v>83</v>
      </c>
      <c r="C17">
        <v>0.09</v>
      </c>
    </row>
    <row r="18" spans="1:4" ht="15.75" x14ac:dyDescent="0.3">
      <c r="A18" s="136"/>
      <c r="B18" s="14" t="s">
        <v>84</v>
      </c>
      <c r="C18">
        <v>8633.82</v>
      </c>
    </row>
    <row r="19" spans="1:4" ht="15.75" x14ac:dyDescent="0.3">
      <c r="A19" s="136"/>
      <c r="B19" s="14" t="s">
        <v>85</v>
      </c>
      <c r="C19">
        <v>0.37</v>
      </c>
      <c r="D19" s="30"/>
    </row>
    <row r="20" spans="1:4" ht="15.75" x14ac:dyDescent="0.3">
      <c r="A20" s="136"/>
      <c r="B20" s="14" t="s">
        <v>86</v>
      </c>
      <c r="C20">
        <v>0.89</v>
      </c>
    </row>
    <row r="21" spans="1:4" ht="15.75" x14ac:dyDescent="0.3">
      <c r="A21" s="136"/>
      <c r="B21" s="14" t="s">
        <v>87</v>
      </c>
      <c r="C21">
        <v>0.41</v>
      </c>
    </row>
    <row r="22" spans="1:4" ht="15.75" x14ac:dyDescent="0.3">
      <c r="A22" s="115"/>
      <c r="B22" s="14" t="s">
        <v>88</v>
      </c>
      <c r="C22">
        <v>5.71</v>
      </c>
      <c r="D22" s="30"/>
    </row>
    <row r="23" spans="1:4" x14ac:dyDescent="0.2">
      <c r="A23" s="23" t="s">
        <v>4</v>
      </c>
      <c r="B23" t="s">
        <v>69</v>
      </c>
      <c r="C23" t="s">
        <v>70</v>
      </c>
    </row>
    <row r="24" spans="1:4" ht="15.75" x14ac:dyDescent="0.3">
      <c r="A24" s="23" t="s">
        <v>5</v>
      </c>
      <c r="B24" t="s">
        <v>89</v>
      </c>
      <c r="C24">
        <v>5.78</v>
      </c>
    </row>
    <row r="25" spans="1:4" ht="15.75" x14ac:dyDescent="0.2">
      <c r="A25" s="115" t="s">
        <v>6</v>
      </c>
      <c r="B25" s="15" t="s">
        <v>40</v>
      </c>
      <c r="C25" s="16"/>
      <c r="D25" s="30"/>
    </row>
    <row r="26" spans="1:4" x14ac:dyDescent="0.2">
      <c r="A26" s="115"/>
      <c r="B26" s="14" t="s">
        <v>19</v>
      </c>
      <c r="C26">
        <v>19.5</v>
      </c>
    </row>
    <row r="27" spans="1:4" ht="15.75" x14ac:dyDescent="0.3">
      <c r="A27" s="115"/>
      <c r="B27" s="14" t="s">
        <v>90</v>
      </c>
      <c r="C27">
        <v>1.1499999999999999</v>
      </c>
    </row>
    <row r="28" spans="1:4" ht="15.75" x14ac:dyDescent="0.3">
      <c r="A28" s="115"/>
      <c r="B28" s="14" t="s">
        <v>24</v>
      </c>
      <c r="C28">
        <v>0.99</v>
      </c>
      <c r="D28" s="30"/>
    </row>
    <row r="29" spans="1:4" ht="15.75" x14ac:dyDescent="0.3">
      <c r="A29" s="136" t="s">
        <v>7</v>
      </c>
      <c r="B29" t="s">
        <v>91</v>
      </c>
    </row>
    <row r="30" spans="1:4" ht="15.75" x14ac:dyDescent="0.3">
      <c r="A30" s="120"/>
      <c r="B30" s="14" t="s">
        <v>92</v>
      </c>
      <c r="C30">
        <v>-0.61</v>
      </c>
    </row>
    <row r="31" spans="1:4" ht="15.75" x14ac:dyDescent="0.3">
      <c r="A31" s="120"/>
      <c r="B31" s="14" t="s">
        <v>93</v>
      </c>
      <c r="C31">
        <v>16.07</v>
      </c>
      <c r="D31" s="30"/>
    </row>
    <row r="32" spans="1:4" ht="15.75" x14ac:dyDescent="0.3">
      <c r="A32" s="23" t="s">
        <v>8</v>
      </c>
      <c r="B32" s="31" t="s">
        <v>94</v>
      </c>
      <c r="C32">
        <v>16.07</v>
      </c>
    </row>
    <row r="33" spans="1:4" ht="15.75" x14ac:dyDescent="0.3">
      <c r="A33" s="115" t="s">
        <v>3</v>
      </c>
      <c r="B33" t="s">
        <v>44</v>
      </c>
    </row>
    <row r="34" spans="1:4" ht="15.75" x14ac:dyDescent="0.3">
      <c r="A34" s="137"/>
      <c r="B34" s="14" t="s">
        <v>95</v>
      </c>
      <c r="C34">
        <v>0.1</v>
      </c>
      <c r="D34" s="30"/>
    </row>
    <row r="35" spans="1:4" ht="15.75" x14ac:dyDescent="0.3">
      <c r="A35" s="137"/>
      <c r="B35" s="14" t="s">
        <v>84</v>
      </c>
      <c r="C35">
        <v>8161.5</v>
      </c>
    </row>
    <row r="36" spans="1:4" ht="15.75" x14ac:dyDescent="0.3">
      <c r="A36" s="137"/>
      <c r="B36" s="14" t="s">
        <v>85</v>
      </c>
      <c r="C36">
        <v>0.38</v>
      </c>
    </row>
    <row r="37" spans="1:4" ht="15.75" x14ac:dyDescent="0.3">
      <c r="A37" s="137"/>
      <c r="B37" s="14" t="s">
        <v>86</v>
      </c>
      <c r="C37">
        <v>0.89</v>
      </c>
      <c r="D37" s="30"/>
    </row>
    <row r="38" spans="1:4" ht="15.75" x14ac:dyDescent="0.3">
      <c r="A38" s="137"/>
      <c r="B38" s="14" t="s">
        <v>87</v>
      </c>
      <c r="C38">
        <v>0.41</v>
      </c>
    </row>
    <row r="39" spans="1:4" ht="15.75" x14ac:dyDescent="0.3">
      <c r="A39" s="137"/>
      <c r="B39" s="14" t="s">
        <v>96</v>
      </c>
      <c r="C39">
        <v>5.57</v>
      </c>
    </row>
    <row r="40" spans="1:4" x14ac:dyDescent="0.2">
      <c r="A40" s="23"/>
      <c r="B40" s="14"/>
      <c r="D40" s="13"/>
    </row>
    <row r="41" spans="1:4" x14ac:dyDescent="0.2">
      <c r="A41" s="136" t="s">
        <v>49</v>
      </c>
      <c r="B41" s="108"/>
      <c r="C41" s="108"/>
    </row>
    <row r="42" spans="1:4" ht="15.75" x14ac:dyDescent="0.3">
      <c r="A42" s="71" t="s">
        <v>0</v>
      </c>
      <c r="B42" s="30" t="s">
        <v>23</v>
      </c>
      <c r="C42" s="66">
        <v>1</v>
      </c>
      <c r="D42" s="62"/>
    </row>
    <row r="43" spans="1:4" ht="14.25" x14ac:dyDescent="0.25">
      <c r="A43" s="71" t="s">
        <v>1</v>
      </c>
      <c r="B43" t="s">
        <v>80</v>
      </c>
      <c r="C43" s="17">
        <v>1</v>
      </c>
      <c r="D43" s="62"/>
    </row>
    <row r="44" spans="1:4" ht="15.75" x14ac:dyDescent="0.3">
      <c r="A44" s="71" t="s">
        <v>9</v>
      </c>
      <c r="B44" t="s">
        <v>50</v>
      </c>
      <c r="C44" s="17">
        <v>0.17</v>
      </c>
      <c r="D44" s="62"/>
    </row>
    <row r="45" spans="1:4" ht="15.75" x14ac:dyDescent="0.3">
      <c r="A45" s="136" t="s">
        <v>4</v>
      </c>
      <c r="B45" t="s">
        <v>97</v>
      </c>
      <c r="C45" s="17"/>
      <c r="D45" s="62"/>
    </row>
    <row r="46" spans="1:4" ht="15.75" x14ac:dyDescent="0.2">
      <c r="A46" s="136"/>
      <c r="B46" s="32" t="s">
        <v>98</v>
      </c>
      <c r="C46" s="36">
        <v>56</v>
      </c>
      <c r="D46" s="62"/>
    </row>
    <row r="47" spans="1:4" ht="15.75" x14ac:dyDescent="0.2">
      <c r="A47" s="136"/>
      <c r="B47" s="32" t="s">
        <v>99</v>
      </c>
      <c r="C47" s="36">
        <v>0.03</v>
      </c>
      <c r="D47" s="62"/>
    </row>
    <row r="48" spans="1:4" ht="15.75" x14ac:dyDescent="0.2">
      <c r="A48" s="136"/>
      <c r="B48" s="32" t="s">
        <v>84</v>
      </c>
      <c r="C48" s="36">
        <v>28440.83</v>
      </c>
      <c r="D48" s="62"/>
    </row>
    <row r="49" spans="1:6" ht="15.75" x14ac:dyDescent="0.2">
      <c r="A49" s="136"/>
      <c r="B49" s="32" t="s">
        <v>85</v>
      </c>
      <c r="C49" s="36">
        <v>0.24</v>
      </c>
      <c r="D49" s="62"/>
    </row>
    <row r="50" spans="1:6" ht="15.75" x14ac:dyDescent="0.2">
      <c r="A50" s="136"/>
      <c r="B50" s="32" t="s">
        <v>86</v>
      </c>
      <c r="C50" s="36">
        <v>0.89</v>
      </c>
      <c r="D50" s="62"/>
    </row>
    <row r="51" spans="1:6" ht="15.75" x14ac:dyDescent="0.2">
      <c r="A51" s="136"/>
      <c r="B51" s="32" t="s">
        <v>87</v>
      </c>
      <c r="C51" s="36">
        <v>0.32</v>
      </c>
      <c r="D51" s="62"/>
    </row>
    <row r="52" spans="1:6" ht="15.75" x14ac:dyDescent="0.2">
      <c r="A52" s="136"/>
      <c r="B52" s="32" t="s">
        <v>100</v>
      </c>
      <c r="C52" s="36">
        <v>9.48</v>
      </c>
      <c r="D52" s="62"/>
    </row>
    <row r="53" spans="1:6" ht="15.75" x14ac:dyDescent="0.2">
      <c r="A53" s="136" t="s">
        <v>5</v>
      </c>
      <c r="B53" s="54" t="s">
        <v>101</v>
      </c>
      <c r="C53" s="36"/>
      <c r="D53" s="62"/>
    </row>
    <row r="54" spans="1:6" x14ac:dyDescent="0.2">
      <c r="A54" s="136"/>
      <c r="B54" s="31" t="s">
        <v>57</v>
      </c>
      <c r="C54" s="17">
        <v>1</v>
      </c>
      <c r="D54" s="62"/>
    </row>
    <row r="55" spans="1:6" ht="15.75" x14ac:dyDescent="0.3">
      <c r="A55" s="136"/>
      <c r="B55" s="31" t="s">
        <v>59</v>
      </c>
      <c r="C55" s="17">
        <v>-5.57</v>
      </c>
      <c r="D55" s="62"/>
    </row>
    <row r="56" spans="1:6" ht="15.75" x14ac:dyDescent="0.3">
      <c r="A56" s="136"/>
      <c r="B56" s="14" t="s">
        <v>60</v>
      </c>
      <c r="C56" s="17">
        <v>5.57</v>
      </c>
      <c r="D56" s="62"/>
    </row>
    <row r="57" spans="1:6" ht="15.75" x14ac:dyDescent="0.3">
      <c r="A57" s="136" t="s">
        <v>6</v>
      </c>
      <c r="B57" s="14" t="s">
        <v>61</v>
      </c>
      <c r="C57" s="17"/>
      <c r="D57" s="62"/>
      <c r="F57" t="s">
        <v>35</v>
      </c>
    </row>
    <row r="58" spans="1:6" ht="15.75" x14ac:dyDescent="0.3">
      <c r="A58" s="136"/>
      <c r="B58" s="14" t="s">
        <v>102</v>
      </c>
      <c r="C58" s="17">
        <v>-0.37</v>
      </c>
      <c r="D58" s="62"/>
      <c r="F58">
        <v>-0.37</v>
      </c>
    </row>
    <row r="59" spans="1:6" ht="15.75" x14ac:dyDescent="0.3">
      <c r="A59" s="136"/>
      <c r="B59" s="31" t="s">
        <v>103</v>
      </c>
      <c r="C59" s="17">
        <v>-0.59</v>
      </c>
      <c r="D59" s="62"/>
      <c r="F59">
        <v>-0.59</v>
      </c>
    </row>
    <row r="60" spans="1:6" ht="15.75" x14ac:dyDescent="0.3">
      <c r="A60" s="136"/>
      <c r="B60" s="14" t="s">
        <v>104</v>
      </c>
      <c r="C60" s="17">
        <v>1.54</v>
      </c>
      <c r="D60" s="62"/>
      <c r="F60">
        <v>1.54</v>
      </c>
    </row>
    <row r="61" spans="1:6" ht="15.75" x14ac:dyDescent="0.3">
      <c r="A61" s="136" t="s">
        <v>7</v>
      </c>
      <c r="B61" s="14" t="s">
        <v>105</v>
      </c>
      <c r="C61" s="17"/>
      <c r="D61" s="62"/>
    </row>
    <row r="62" spans="1:6" ht="15.75" x14ac:dyDescent="0.3">
      <c r="A62" s="136"/>
      <c r="B62" s="14" t="s">
        <v>65</v>
      </c>
      <c r="C62" s="17">
        <v>17.61</v>
      </c>
      <c r="D62" s="62"/>
      <c r="F62">
        <v>17.61</v>
      </c>
    </row>
    <row r="63" spans="1:6" ht="15.75" x14ac:dyDescent="0.3">
      <c r="A63" s="136"/>
      <c r="B63" s="14" t="s">
        <v>106</v>
      </c>
      <c r="C63" s="17">
        <v>8943.6299999999992</v>
      </c>
      <c r="D63" s="62"/>
      <c r="F63">
        <v>8943.6299999999992</v>
      </c>
    </row>
    <row r="64" spans="1:6" ht="15.75" x14ac:dyDescent="0.3">
      <c r="A64" s="136"/>
      <c r="B64" s="14" t="s">
        <v>107</v>
      </c>
      <c r="C64" s="17">
        <v>0.09</v>
      </c>
      <c r="D64" s="62"/>
      <c r="F64">
        <v>0.09</v>
      </c>
    </row>
    <row r="65" spans="1:6" ht="15.75" x14ac:dyDescent="0.3">
      <c r="A65" s="136"/>
      <c r="B65" s="14" t="s">
        <v>108</v>
      </c>
      <c r="C65" s="17">
        <v>0.37</v>
      </c>
      <c r="D65" s="62"/>
      <c r="F65">
        <v>0.37</v>
      </c>
    </row>
    <row r="66" spans="1:6" ht="15.75" x14ac:dyDescent="0.3">
      <c r="A66" s="136"/>
      <c r="B66" s="14" t="s">
        <v>86</v>
      </c>
      <c r="C66" s="17">
        <v>0.89</v>
      </c>
      <c r="D66" s="62"/>
      <c r="F66">
        <v>0.89</v>
      </c>
    </row>
    <row r="67" spans="1:6" ht="15.75" x14ac:dyDescent="0.3">
      <c r="A67" s="136"/>
      <c r="B67" s="65" t="s">
        <v>109</v>
      </c>
      <c r="C67" s="17">
        <v>0.41</v>
      </c>
      <c r="D67" s="62"/>
      <c r="F67">
        <v>0.41</v>
      </c>
    </row>
    <row r="68" spans="1:6" ht="15.75" x14ac:dyDescent="0.3">
      <c r="A68" s="136"/>
      <c r="B68" s="65" t="s">
        <v>110</v>
      </c>
      <c r="C68" s="17">
        <v>5.8</v>
      </c>
      <c r="D68" s="62"/>
      <c r="F68">
        <v>5.8</v>
      </c>
    </row>
    <row r="69" spans="1:6" x14ac:dyDescent="0.2">
      <c r="A69" s="136" t="s">
        <v>8</v>
      </c>
      <c r="B69" t="s">
        <v>64</v>
      </c>
      <c r="C69" s="17"/>
      <c r="D69" s="62"/>
    </row>
    <row r="70" spans="1:6" ht="15.75" x14ac:dyDescent="0.3">
      <c r="A70" s="136"/>
      <c r="B70" s="14" t="s">
        <v>111</v>
      </c>
      <c r="C70" s="17" t="s">
        <v>71</v>
      </c>
      <c r="D70" s="62"/>
      <c r="F70" t="s">
        <v>71</v>
      </c>
    </row>
    <row r="71" spans="1:6" ht="15.75" x14ac:dyDescent="0.3">
      <c r="A71" s="136"/>
      <c r="B71" s="14" t="s">
        <v>62</v>
      </c>
      <c r="C71" s="17">
        <v>-5.8</v>
      </c>
      <c r="D71" s="62"/>
      <c r="F71">
        <v>-5.8</v>
      </c>
    </row>
    <row r="72" spans="1:6" ht="28.5" x14ac:dyDescent="0.3">
      <c r="A72" s="136" t="s">
        <v>3</v>
      </c>
      <c r="B72" s="65" t="s">
        <v>112</v>
      </c>
      <c r="C72" s="17">
        <v>0.04</v>
      </c>
      <c r="D72" s="62"/>
      <c r="F72">
        <v>0.04</v>
      </c>
    </row>
    <row r="73" spans="1:6" x14ac:dyDescent="0.2">
      <c r="A73" s="136"/>
      <c r="B73" s="14" t="s">
        <v>57</v>
      </c>
      <c r="C73" s="17">
        <v>1</v>
      </c>
      <c r="D73" s="62"/>
      <c r="F73">
        <v>2</v>
      </c>
    </row>
    <row r="74" spans="1:6" x14ac:dyDescent="0.2">
      <c r="A74" s="136" t="s">
        <v>15</v>
      </c>
      <c r="B74" s="29" t="s">
        <v>11</v>
      </c>
      <c r="C74" s="29"/>
      <c r="D74" s="62"/>
      <c r="F74" t="s">
        <v>66</v>
      </c>
    </row>
    <row r="75" spans="1:6" ht="15.75" x14ac:dyDescent="0.2">
      <c r="A75" s="136"/>
      <c r="B75" s="32" t="s">
        <v>113</v>
      </c>
      <c r="C75" s="29">
        <v>1.54</v>
      </c>
      <c r="D75" s="62"/>
    </row>
    <row r="76" spans="1:6" ht="15.75" x14ac:dyDescent="0.2">
      <c r="A76" s="136"/>
      <c r="B76" s="32" t="s">
        <v>114</v>
      </c>
      <c r="C76" s="29">
        <v>17.61</v>
      </c>
      <c r="D76" s="62"/>
    </row>
    <row r="77" spans="1:6" ht="15.75" x14ac:dyDescent="0.2">
      <c r="A77" s="136"/>
      <c r="B77" s="32" t="s">
        <v>115</v>
      </c>
      <c r="C77" s="29">
        <v>5.8</v>
      </c>
      <c r="D77" s="62"/>
    </row>
    <row r="78" spans="1:6" x14ac:dyDescent="0.2">
      <c r="A78" s="71" t="s">
        <v>16</v>
      </c>
      <c r="B78" s="9" t="s">
        <v>12</v>
      </c>
      <c r="C78" s="9" t="s">
        <v>116</v>
      </c>
      <c r="D78" s="62"/>
    </row>
    <row r="79" spans="1:6" x14ac:dyDescent="0.2">
      <c r="A79" s="8"/>
      <c r="B79" s="9"/>
      <c r="C79" s="9"/>
      <c r="D79" s="17"/>
    </row>
    <row r="80" spans="1:6" x14ac:dyDescent="0.2">
      <c r="A80" s="136" t="s">
        <v>53</v>
      </c>
      <c r="B80" s="108"/>
      <c r="C80" s="108"/>
      <c r="D80" s="9"/>
    </row>
    <row r="81" spans="1:4" x14ac:dyDescent="0.2">
      <c r="A81" s="136" t="s">
        <v>0</v>
      </c>
      <c r="B81" s="31" t="s">
        <v>54</v>
      </c>
      <c r="C81" s="17"/>
      <c r="D81" s="17"/>
    </row>
    <row r="82" spans="1:4" x14ac:dyDescent="0.2">
      <c r="A82" s="136"/>
      <c r="B82" s="14" t="s">
        <v>51</v>
      </c>
      <c r="C82" s="17" t="s">
        <v>68</v>
      </c>
      <c r="D82" s="17"/>
    </row>
    <row r="83" spans="1:4" x14ac:dyDescent="0.2">
      <c r="A83" s="136"/>
      <c r="B83" s="14" t="s">
        <v>51</v>
      </c>
      <c r="C83" s="17" t="s">
        <v>68</v>
      </c>
      <c r="D83" s="17"/>
    </row>
    <row r="84" spans="1:4" ht="12.75" customHeight="1" x14ac:dyDescent="0.3">
      <c r="A84" s="136" t="s">
        <v>1</v>
      </c>
      <c r="B84" s="53" t="s">
        <v>25</v>
      </c>
      <c r="C84" s="17"/>
      <c r="D84" s="17"/>
    </row>
    <row r="85" spans="1:4" x14ac:dyDescent="0.2">
      <c r="A85" s="136"/>
      <c r="B85" s="14" t="s">
        <v>10</v>
      </c>
      <c r="C85" s="17" t="s">
        <v>68</v>
      </c>
      <c r="D85" s="17"/>
    </row>
    <row r="86" spans="1:4" ht="15.75" x14ac:dyDescent="0.3">
      <c r="A86" s="136"/>
      <c r="B86" s="14" t="s">
        <v>26</v>
      </c>
      <c r="C86" s="17" t="s">
        <v>68</v>
      </c>
      <c r="D86" s="17"/>
    </row>
    <row r="87" spans="1:4" ht="15.75" x14ac:dyDescent="0.3">
      <c r="A87" s="136"/>
      <c r="B87" s="14" t="s">
        <v>27</v>
      </c>
      <c r="C87" s="17" t="s">
        <v>68</v>
      </c>
      <c r="D87" s="17"/>
    </row>
    <row r="88" spans="1:4" ht="15.75" x14ac:dyDescent="0.3">
      <c r="A88" s="136"/>
      <c r="B88" s="14" t="s">
        <v>28</v>
      </c>
      <c r="C88" s="17" t="s">
        <v>68</v>
      </c>
      <c r="D88" s="17"/>
    </row>
    <row r="89" spans="1:4" ht="15.75" x14ac:dyDescent="0.3">
      <c r="A89" s="71" t="s">
        <v>9</v>
      </c>
      <c r="B89" t="s">
        <v>117</v>
      </c>
      <c r="C89" s="17"/>
      <c r="D89" s="17"/>
    </row>
    <row r="90" spans="1:4" ht="15.75" x14ac:dyDescent="0.3">
      <c r="A90" s="71" t="s">
        <v>4</v>
      </c>
      <c r="B90" t="s">
        <v>29</v>
      </c>
      <c r="C90" s="17"/>
      <c r="D90" s="17"/>
    </row>
    <row r="91" spans="1:4" ht="15.75" x14ac:dyDescent="0.2">
      <c r="A91" s="70" t="s">
        <v>5</v>
      </c>
      <c r="B91" s="33" t="s">
        <v>30</v>
      </c>
      <c r="C91" s="35" t="s">
        <v>68</v>
      </c>
      <c r="D91" s="17"/>
    </row>
    <row r="92" spans="1:4" x14ac:dyDescent="0.2">
      <c r="A92" s="70" t="s">
        <v>6</v>
      </c>
      <c r="B92" s="1" t="s">
        <v>20</v>
      </c>
      <c r="C92" s="28">
        <v>0</v>
      </c>
      <c r="D92" s="17"/>
    </row>
    <row r="93" spans="1:4" ht="15.75" x14ac:dyDescent="0.3">
      <c r="A93" s="70" t="s">
        <v>7</v>
      </c>
      <c r="B93" s="1" t="s">
        <v>31</v>
      </c>
      <c r="C93" s="28" t="s">
        <v>68</v>
      </c>
      <c r="D93" s="17"/>
    </row>
    <row r="94" spans="1:4" ht="15.75" x14ac:dyDescent="0.3">
      <c r="A94" s="70" t="s">
        <v>8</v>
      </c>
      <c r="B94" s="1" t="s">
        <v>52</v>
      </c>
      <c r="C94" s="28" t="s">
        <v>68</v>
      </c>
      <c r="D94" s="17"/>
    </row>
    <row r="95" spans="1:4" ht="15.75" x14ac:dyDescent="0.3">
      <c r="A95" s="19" t="s">
        <v>3</v>
      </c>
      <c r="B95" s="1" t="s">
        <v>118</v>
      </c>
      <c r="C95" s="1"/>
      <c r="D95" s="17"/>
    </row>
    <row r="96" spans="1:4" x14ac:dyDescent="0.2">
      <c r="A96" s="19"/>
      <c r="B96" s="3"/>
      <c r="C96" s="1"/>
      <c r="D96" s="17"/>
    </row>
    <row r="97" spans="1:5" x14ac:dyDescent="0.2">
      <c r="A97" s="133" t="s">
        <v>55</v>
      </c>
      <c r="B97" s="130"/>
      <c r="C97" s="130"/>
      <c r="D97" s="17"/>
      <c r="E97" s="1"/>
    </row>
    <row r="98" spans="1:5" ht="14.25" x14ac:dyDescent="0.2">
      <c r="A98" s="72" t="s">
        <v>0</v>
      </c>
      <c r="B98" s="22" t="s">
        <v>33</v>
      </c>
      <c r="C98" s="1">
        <v>19.37</v>
      </c>
      <c r="D98" s="17"/>
      <c r="E98" s="1"/>
    </row>
    <row r="99" spans="1:5" ht="15.75" x14ac:dyDescent="0.3">
      <c r="A99" s="133" t="s">
        <v>1</v>
      </c>
      <c r="B99" s="22" t="s">
        <v>34</v>
      </c>
      <c r="C99" s="1"/>
      <c r="D99" s="17"/>
      <c r="E99" s="1"/>
    </row>
    <row r="100" spans="1:5" ht="15.75" x14ac:dyDescent="0.3">
      <c r="A100" s="133"/>
      <c r="B100" s="3" t="s">
        <v>119</v>
      </c>
      <c r="C100" s="1">
        <v>19.37</v>
      </c>
      <c r="D100" s="17"/>
      <c r="E100" s="1"/>
    </row>
    <row r="101" spans="1:5" ht="15.75" x14ac:dyDescent="0.3">
      <c r="A101" s="133"/>
      <c r="B101" s="3" t="s">
        <v>120</v>
      </c>
      <c r="C101" s="1">
        <v>0.08</v>
      </c>
      <c r="D101" s="17"/>
      <c r="E101" s="1"/>
    </row>
    <row r="102" spans="1:5" ht="15.75" x14ac:dyDescent="0.3">
      <c r="A102" s="133"/>
      <c r="B102" s="3" t="s">
        <v>84</v>
      </c>
      <c r="C102" s="1">
        <v>9837.99</v>
      </c>
      <c r="D102" s="17"/>
      <c r="E102" s="1"/>
    </row>
    <row r="103" spans="1:5" ht="15.75" x14ac:dyDescent="0.3">
      <c r="A103" s="133"/>
      <c r="B103" s="3" t="s">
        <v>85</v>
      </c>
      <c r="C103" s="1">
        <v>0.35</v>
      </c>
      <c r="D103" s="17"/>
      <c r="E103" s="1"/>
    </row>
    <row r="104" spans="1:5" ht="15.75" x14ac:dyDescent="0.3">
      <c r="A104" s="133"/>
      <c r="B104" s="3" t="s">
        <v>86</v>
      </c>
      <c r="C104" s="1">
        <v>0.89</v>
      </c>
      <c r="D104" s="17"/>
      <c r="E104" s="1"/>
    </row>
    <row r="105" spans="1:5" ht="15.75" customHeight="1" x14ac:dyDescent="0.3">
      <c r="A105" s="133"/>
      <c r="B105" s="3" t="s">
        <v>87</v>
      </c>
      <c r="C105" s="13">
        <v>0.4</v>
      </c>
      <c r="D105" s="17"/>
      <c r="E105" s="1"/>
    </row>
    <row r="106" spans="1:5" ht="15.75" x14ac:dyDescent="0.3">
      <c r="A106" s="133"/>
      <c r="B106" s="3" t="s">
        <v>121</v>
      </c>
      <c r="C106" s="13">
        <v>6.05</v>
      </c>
      <c r="D106" s="13"/>
      <c r="E106" s="1"/>
    </row>
    <row r="107" spans="1:5" x14ac:dyDescent="0.2">
      <c r="A107" s="19"/>
      <c r="B107" s="18"/>
      <c r="C107" s="13"/>
      <c r="D107" s="13"/>
      <c r="E107" s="1"/>
    </row>
    <row r="108" spans="1:5" ht="12.75" customHeight="1" x14ac:dyDescent="0.2">
      <c r="A108" s="19"/>
      <c r="B108" s="3"/>
      <c r="C108" s="1"/>
      <c r="D108" s="1"/>
      <c r="E108" s="1"/>
    </row>
    <row r="109" spans="1:5" x14ac:dyDescent="0.2">
      <c r="A109" s="12"/>
      <c r="B109" s="1"/>
      <c r="C109" s="1"/>
      <c r="D109" s="1"/>
      <c r="E109" s="1"/>
    </row>
    <row r="110" spans="1:5" x14ac:dyDescent="0.2">
      <c r="A110" s="12"/>
      <c r="B110" s="1"/>
      <c r="C110" s="1"/>
      <c r="D110" s="1"/>
      <c r="E110" s="1"/>
    </row>
    <row r="111" spans="1:5" x14ac:dyDescent="0.2">
      <c r="A111" s="1"/>
      <c r="B111" s="1"/>
      <c r="C111" s="1"/>
      <c r="D111" s="1"/>
      <c r="E111" s="1"/>
    </row>
    <row r="112" spans="1:5" x14ac:dyDescent="0.2">
      <c r="A112" s="24"/>
      <c r="B112" s="24"/>
      <c r="C112" s="24"/>
      <c r="D112" s="24"/>
      <c r="E112" s="1"/>
    </row>
    <row r="113" spans="1:5" x14ac:dyDescent="0.2">
      <c r="A113" s="11"/>
      <c r="B113" s="1"/>
      <c r="C113" s="1"/>
      <c r="D113" s="1"/>
      <c r="E113" s="1"/>
    </row>
    <row r="114" spans="1:5" x14ac:dyDescent="0.2">
      <c r="A114" s="19"/>
      <c r="B114" s="1"/>
      <c r="C114" s="1"/>
      <c r="D114" s="1"/>
      <c r="E114" s="1"/>
    </row>
    <row r="115" spans="1:5" x14ac:dyDescent="0.2">
      <c r="A115" s="19"/>
      <c r="B115" s="3"/>
      <c r="C115" s="1"/>
      <c r="D115" s="1"/>
      <c r="E115" s="1"/>
    </row>
    <row r="116" spans="1:5" x14ac:dyDescent="0.2">
      <c r="A116" s="19"/>
      <c r="B116" s="3"/>
      <c r="C116" s="1"/>
      <c r="D116" s="1"/>
      <c r="E116" s="1"/>
    </row>
    <row r="117" spans="1:5" x14ac:dyDescent="0.2">
      <c r="A117" s="19"/>
      <c r="B117" s="3"/>
      <c r="C117" s="1"/>
      <c r="D117" s="1"/>
      <c r="E117" s="1"/>
    </row>
    <row r="118" spans="1:5" x14ac:dyDescent="0.2">
      <c r="A118" s="19"/>
      <c r="B118" s="3"/>
      <c r="C118" s="1"/>
      <c r="D118" s="1"/>
      <c r="E118" s="1"/>
    </row>
    <row r="119" spans="1:5" x14ac:dyDescent="0.2">
      <c r="A119" s="19"/>
      <c r="B119" s="3"/>
      <c r="C119" s="1"/>
      <c r="D119" s="1"/>
      <c r="E119" s="1"/>
    </row>
    <row r="120" spans="1:5" x14ac:dyDescent="0.2">
      <c r="A120" s="19"/>
      <c r="B120" s="3"/>
      <c r="C120" s="1"/>
      <c r="D120" s="1"/>
      <c r="E120" s="1"/>
    </row>
    <row r="121" spans="1:5" x14ac:dyDescent="0.2">
      <c r="A121" s="19"/>
      <c r="B121" s="3"/>
      <c r="C121" s="1"/>
      <c r="D121" s="1"/>
      <c r="E121" s="1"/>
    </row>
    <row r="122" spans="1:5" x14ac:dyDescent="0.2">
      <c r="A122" s="1"/>
      <c r="B122" s="1"/>
      <c r="C122" s="1"/>
      <c r="D122" s="1"/>
      <c r="E122" s="1"/>
    </row>
    <row r="123" spans="1:5" x14ac:dyDescent="0.2">
      <c r="A123" s="1"/>
      <c r="B123" s="1"/>
      <c r="C123" s="1"/>
      <c r="D123" s="1"/>
      <c r="E123" s="1"/>
    </row>
    <row r="124" spans="1:5" x14ac:dyDescent="0.2">
      <c r="A124" s="1"/>
      <c r="B124" s="1"/>
      <c r="C124" s="1"/>
      <c r="D124" s="1"/>
      <c r="E124" s="1"/>
    </row>
    <row r="125" spans="1:5" x14ac:dyDescent="0.2">
      <c r="A125" s="1"/>
      <c r="B125" s="1"/>
      <c r="C125" s="1"/>
      <c r="D125" s="1"/>
      <c r="E125" s="1"/>
    </row>
  </sheetData>
  <scenarios current="0">
    <scenario name="1" count="1" user="Tom Glasser" comment="Created by Tom Glasser on 1/26/2005">
      <inputCells r="C28" undone="1" val="0.1000001" numFmtId="2"/>
    </scenario>
  </scenarios>
  <dataConsolidate/>
  <mergeCells count="20">
    <mergeCell ref="A25:A28"/>
    <mergeCell ref="A12:C12"/>
    <mergeCell ref="A80:C80"/>
    <mergeCell ref="H2:K5"/>
    <mergeCell ref="A84:A88"/>
    <mergeCell ref="A99:A106"/>
    <mergeCell ref="A97:C97"/>
    <mergeCell ref="A1:C1"/>
    <mergeCell ref="A41:C41"/>
    <mergeCell ref="A81:A83"/>
    <mergeCell ref="A29:A31"/>
    <mergeCell ref="A33:A39"/>
    <mergeCell ref="A53:A56"/>
    <mergeCell ref="A57:A60"/>
    <mergeCell ref="A61:A68"/>
    <mergeCell ref="A69:A71"/>
    <mergeCell ref="A72:A73"/>
    <mergeCell ref="A74:A77"/>
    <mergeCell ref="A45:A52"/>
    <mergeCell ref="A15:A22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9225" r:id="rId4">
          <objectPr defaultSize="0" autoPict="0" r:id="rId5">
            <anchor moveWithCells="1" sizeWithCells="1">
              <from>
                <xdr:col>5</xdr:col>
                <xdr:colOff>542925</xdr:colOff>
                <xdr:row>121</xdr:row>
                <xdr:rowOff>76200</xdr:rowOff>
              </from>
              <to>
                <xdr:col>5</xdr:col>
                <xdr:colOff>819150</xdr:colOff>
                <xdr:row>123</xdr:row>
                <xdr:rowOff>9525</xdr:rowOff>
              </to>
            </anchor>
          </objectPr>
        </oleObject>
      </mc:Choice>
      <mc:Fallback>
        <oleObject progId="Equation.DSMT4" shapeId="9225" r:id="rId4"/>
      </mc:Fallback>
    </mc:AlternateContent>
    <mc:AlternateContent xmlns:mc="http://schemas.openxmlformats.org/markup-compatibility/2006">
      <mc:Choice Requires="x14">
        <oleObject progId="Equation.DSMT4" shapeId="9227" r:id="rId6">
          <objectPr defaultSize="0" autoPict="0" r:id="rId5">
            <anchor moveWithCells="1" sizeWithCells="1">
              <from>
                <xdr:col>1</xdr:col>
                <xdr:colOff>1123950</xdr:colOff>
                <xdr:row>79</xdr:row>
                <xdr:rowOff>142875</xdr:rowOff>
              </from>
              <to>
                <xdr:col>1</xdr:col>
                <xdr:colOff>1304925</xdr:colOff>
                <xdr:row>81</xdr:row>
                <xdr:rowOff>47625</xdr:rowOff>
              </to>
            </anchor>
          </objectPr>
        </oleObject>
      </mc:Choice>
      <mc:Fallback>
        <oleObject progId="Equation.DSMT4" shapeId="9227" r:id="rId6"/>
      </mc:Fallback>
    </mc:AlternateContent>
    <mc:AlternateContent xmlns:mc="http://schemas.openxmlformats.org/markup-compatibility/2006">
      <mc:Choice Requires="x14">
        <oleObject progId="Equation.DSMT4" shapeId="9228" r:id="rId7">
          <objectPr defaultSize="0" autoPict="0" r:id="rId8">
            <anchor moveWithCells="1" sizeWithCells="1">
              <from>
                <xdr:col>1</xdr:col>
                <xdr:colOff>590550</xdr:colOff>
                <xdr:row>79</xdr:row>
                <xdr:rowOff>133350</xdr:rowOff>
              </from>
              <to>
                <xdr:col>1</xdr:col>
                <xdr:colOff>781050</xdr:colOff>
                <xdr:row>81</xdr:row>
                <xdr:rowOff>38100</xdr:rowOff>
              </to>
            </anchor>
          </objectPr>
        </oleObject>
      </mc:Choice>
      <mc:Fallback>
        <oleObject progId="Equation.DSMT4" shapeId="9228" r:id="rId7"/>
      </mc:Fallback>
    </mc:AlternateContent>
    <mc:AlternateContent xmlns:mc="http://schemas.openxmlformats.org/markup-compatibility/2006">
      <mc:Choice Requires="x14">
        <oleObject progId="Equation.DSMT4" shapeId="9237" r:id="rId9">
          <objectPr defaultSize="0" autoPict="0" r:id="rId8">
            <anchor moveWithCells="1" sizeWithCells="1">
              <from>
                <xdr:col>1</xdr:col>
                <xdr:colOff>180975</xdr:colOff>
                <xdr:row>80</xdr:row>
                <xdr:rowOff>123825</xdr:rowOff>
              </from>
              <to>
                <xdr:col>1</xdr:col>
                <xdr:colOff>333375</xdr:colOff>
                <xdr:row>82</xdr:row>
                <xdr:rowOff>19050</xdr:rowOff>
              </to>
            </anchor>
          </objectPr>
        </oleObject>
      </mc:Choice>
      <mc:Fallback>
        <oleObject progId="Equation.DSMT4" shapeId="9237" r:id="rId9"/>
      </mc:Fallback>
    </mc:AlternateContent>
    <mc:AlternateContent xmlns:mc="http://schemas.openxmlformats.org/markup-compatibility/2006">
      <mc:Choice Requires="x14">
        <oleObject progId="Equation.DSMT4" shapeId="9238" r:id="rId10">
          <objectPr defaultSize="0" autoPict="0" r:id="rId5">
            <anchor moveWithCells="1" sizeWithCells="1">
              <from>
                <xdr:col>1</xdr:col>
                <xdr:colOff>190500</xdr:colOff>
                <xdr:row>81</xdr:row>
                <xdr:rowOff>142875</xdr:rowOff>
              </from>
              <to>
                <xdr:col>1</xdr:col>
                <xdr:colOff>361950</xdr:colOff>
                <xdr:row>83</xdr:row>
                <xdr:rowOff>38100</xdr:rowOff>
              </to>
            </anchor>
          </objectPr>
        </oleObject>
      </mc:Choice>
      <mc:Fallback>
        <oleObject progId="Equation.DSMT4" shapeId="9238" r:id="rId10"/>
      </mc:Fallback>
    </mc:AlternateContent>
    <mc:AlternateContent xmlns:mc="http://schemas.openxmlformats.org/markup-compatibility/2006">
      <mc:Choice Requires="x14">
        <oleObject progId="Equation.DSMT4" shapeId="9240" r:id="rId11">
          <objectPr defaultSize="0" autoPict="0" r:id="rId12">
            <anchor moveWithCells="1" sizeWithCells="1">
              <from>
                <xdr:col>1</xdr:col>
                <xdr:colOff>609600</xdr:colOff>
                <xdr:row>90</xdr:row>
                <xdr:rowOff>171450</xdr:rowOff>
              </from>
              <to>
                <xdr:col>1</xdr:col>
                <xdr:colOff>904875</xdr:colOff>
                <xdr:row>92</xdr:row>
                <xdr:rowOff>9525</xdr:rowOff>
              </to>
            </anchor>
          </objectPr>
        </oleObject>
      </mc:Choice>
      <mc:Fallback>
        <oleObject progId="Equation.DSMT4" shapeId="9240" r:id="rId11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DataInput</vt:lpstr>
      <vt:lpstr>Single Pile</vt:lpstr>
      <vt:lpstr>Defaults</vt:lpstr>
      <vt:lpstr>Case1 Calculations</vt:lpstr>
      <vt:lpstr>Copy Page</vt:lpstr>
      <vt:lpstr>Case2 Calculations</vt:lpstr>
      <vt:lpstr>Case3 Calculations</vt:lpstr>
    </vt:vector>
  </TitlesOfParts>
  <Company>OEA,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FDOT Scour Calculator</dc:title>
  <dc:subject>Scour Calculator</dc:subject>
  <dc:creator>OEA, INC.</dc:creator>
  <cp:keywords>Complex Pier Scour</cp:keywords>
  <dc:description>VERSION 2.03, MODIFIED 1-27-2007</dc:description>
  <cp:lastModifiedBy>Wang, Lei</cp:lastModifiedBy>
  <cp:lastPrinted>2012-04-04T19:11:21Z</cp:lastPrinted>
  <dcterms:created xsi:type="dcterms:W3CDTF">2004-12-06T12:43:36Z</dcterms:created>
  <dcterms:modified xsi:type="dcterms:W3CDTF">2018-10-02T14:51:29Z</dcterms:modified>
  <cp:category>FDOT BRIDGE HYDRAULICS</cp:category>
  <cp:contentStatus>FINAL</cp:contentStatus>
</cp:coreProperties>
</file>